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E\code PIC\docs\"/>
    </mc:Choice>
  </mc:AlternateContent>
  <xr:revisionPtr revIDLastSave="0" documentId="13_ncr:1_{8C84F283-55AE-48EA-BBD5-ED6501F2E621}" xr6:coauthVersionLast="47" xr6:coauthVersionMax="47" xr10:uidLastSave="{00000000-0000-0000-0000-000000000000}"/>
  <bookViews>
    <workbookView xWindow="-120" yWindow="-120" windowWidth="20730" windowHeight="11760" tabRatio="939" firstSheet="1" activeTab="8" xr2:uid="{00000000-000D-0000-FFFF-FFFF00000000}"/>
  </bookViews>
  <sheets>
    <sheet name="① Algorithm Overview" sheetId="1" r:id="rId1"/>
    <sheet name="② State Detail" sheetId="2" r:id="rId2"/>
    <sheet name="③ Motor &amp; TB6612" sheetId="3" r:id="rId3"/>
    <sheet name="④ Driver Config" sheetId="4" r:id="rId4"/>
    <sheet name="⑤ C Code Skeleton" sheetId="5" r:id="rId5"/>
    <sheet name="⑥ Transition &amp; Flags" sheetId="6" r:id="rId6"/>
    <sheet name="⑦ Chatter Filter" sheetId="7" r:id="rId7"/>
    <sheet name="⑧ Main &amp; Timers" sheetId="8" r:id="rId8"/>
    <sheet name="PCB"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8" l="1"/>
</calcChain>
</file>

<file path=xl/sharedStrings.xml><?xml version="1.0" encoding="utf-8"?>
<sst xmlns="http://schemas.openxmlformats.org/spreadsheetml/2006/main" count="1256" uniqueCount="958">
  <si>
    <t>DRIVER CONFIG – GPIO · TIMER0(LED) · TIMER1(HC-SR04) · TIMER2/CCP(Motor PWM) · PIC18F2685</t>
  </si>
  <si>
    <t>Phân công Timer: Timer0→LED blink ISR | Timer1→HC-SR04 echo đo xung | Timer2+CCP1/CCP2→PWM Motor 20kHz</t>
  </si>
  <si>
    <t>Driver</t>
  </si>
  <si>
    <t>Init Function</t>
  </si>
  <si>
    <t>Pin / SFR PIC18</t>
  </si>
  <si>
    <t>Config Register</t>
  </si>
  <si>
    <t>ISR / Polling</t>
  </si>
  <si>
    <t>Code minh họa</t>
  </si>
  <si>
    <t>Giải thích thiết kế</t>
  </si>
  <si>
    <t>GPIO
(Tất cả pin)</t>
  </si>
  <si>
    <t>gpio_init():
  ADCON1=0x0F  // ★ all digital
  ANSEL=0x00
  TRISA=0b00000111  // RA0-2 IN
  TRISB=0b10001000  // RB3,7 IN
  TRISC=0b00000000  // toàn OUTPUT
  LATA=LATB=LATC=0
  output_high(STBY_PIN)  // STBY=HIGH</t>
  </si>
  <si>
    <t>RA0=SL  RA1=SM  RA2=SR
RB0=AIN1  RB2=BIN1
RB3=BALL_SENSOR  RB4=Trig
RB5=Echo  RB6=STBY  RB7=BTN
RC0=LED1  RC1=LED2
RC2=CCP1(PWMA)  RC3=CCP2(PWMB)
RC4=GRAB  RC5=RELEASE</t>
  </si>
  <si>
    <t>TRISA: bit0-2=INPUT
TRISB: bit3,7=INPUT
TRISC: toàn OUTPUT
ADCON1=0x0F (bắt buộc!)
ANSEL=0x00</t>
  </si>
  <si>
    <t>Polling trực tiếp
PORTAbits.RAx
PORTBbits.RBx
IOCB RB3,RB7</t>
  </si>
  <si>
    <t>setup_adc_ports(NO_ANALOGS);
setup_adc(ADC_OFF);
set_tris_a(0x07);
set_tris_b(0x88);
set_tris_c(0x00);
output_a(0); output_b(0); output_c(0);
output_high(STBY_PIN);</t>
  </si>
  <si>
    <t>★ ADCON1=0x0F bắt buộc đầu tiên
PIC18 boot với RA0-RA5 là Analog
Nếu quên → sensor luôn đọc 0
RC2=CCP1, RC3=CCP2 (ĐÃ ĐỔI từ RC1)
2 LED: RC0=LED1, RC1=LED2</t>
  </si>
  <si>
    <t>Timer0
(LED blink
ISR 5ms)</t>
  </si>
  <si>
    <t>timer0_init():
  T0CON=0b11000100
  // 16-bit, Fosc/4
  // prescale 1:32
  // 5MHz/32=156kHz
  // 5ms→reload 0xF63C
  TMR0H=0xF6
  TMR0L=0x3C
  INTCONbits.TMR0IE=1
  INTCONbits.TMR0IF=0</t>
  </si>
  <si>
    <t>TMR0H:TMR0L (16-bit)
T0CON SFR
INTCONbits.TMR0IE
INTCONbits.TMR0IF
RC0=LED1 OUTPUT
RC1=LED2 OUTPUT</t>
  </si>
  <si>
    <t>T0CON=0b11000100:
  bit7=1: 16-bit mode
  bit6=1: internal Fosc/4
  bit2-0=100: prescale 1:32
Reload: 65536-781=64755
  =0xFD0F (5MHz/32/781≈200Hz)
Hoặc prescale 1:256 → dễ tính:
  5ms: TMR0=65536-98=65438=0xFF9E</t>
  </si>
  <si>
    <t>ISR Timer0 (low priority)
#INT_TIMER0
void
low_isr():
  if TMR0IF:
    reload TMR0
    led_tick++
    xử lý blink LED1,LED2</t>
  </si>
  <si>
    <t>// ISR:
void low_isr(void){
  if(INTCONbits.TMR0IF){
    INTCONbits.TMR0IF=0;
    TMR0H=0xFF;TMR0L=0x9E;
    led_tick++; // +1 mỗi 5ms
  }
}
// Toggle LED2 mỗi 200ms:
if(led2_blink_en &amp;&amp;
   led_tick%40==0)
  output_toggle(LED2_PIN);</t>
  </si>
  <si>
    <t>Timer0 ISR mỗi 5ms
→ led_tick++ (int16)
LED1 bật/tắt theo state flag
LED2 nháy: toggle khi
  led_tick % 40 == 0
  (40×5ms = 200ms)
Không cần delay hay timer riêng</t>
  </si>
  <si>
    <t>Timer1
(HC-SR04
Echo đo xung)</t>
  </si>
  <si>
    <t>timer1_init():
  T1CON=0b10000000
  // 16-bit read
  // prescale 1:1
  // Fosc/4=5MHz
  // 1tick=200ns
  TMR1H=0
  TMR1L=0
  T1CONbits.TMR1ON=0
  // Chỉ bật khi đo</t>
  </si>
  <si>
    <t>TMR1H:TMR1L (16-bit)
T1CON SFR
PIR1bits.TMR1IF
RB4=Trig OUTPUT
RB5=Echo INPUT
(Không dùng ISR cho HC-SR04)</t>
  </si>
  <si>
    <t>T1CON=0b10000000:
  bit7=1: 16-bit read
  bit5-4=00: prescale 1:1
  bit0=0: OFF (bật thủ công)
1 tick = 200ns @ 5MHz
1cm = 58µs = 290 ticks
dist_cm = TMR1_count / 290
Max đo: 65535×200ns=13ms≈2.2m</t>
  </si>
  <si>
    <t>Blocking polling
(không ISR):
Bật TMR1ON khi Echo↑
Tắt TMR1ON khi Echo↓
Đọc TMR1H:TMR1L
tính dist_cm
Timeout nếu Echo&gt;13ms</t>
  </si>
  <si>
    <t>// Đo khoảng cách:
output_high(TRIG_PIN);
delay_us(10);
output_low(TRIG_PIN);
while(!input(ECHO_PIN)); // wait rise
TMR1H=0;TMR1L=0;
setup_timer_1(T1_INTERNAL|T1_DIV_BY_1);
while(input(ECHO_PIN)); // wait fall
setup_timer_1(T1_DISABLED);
t=(TMR1H&lt;&lt;8)|TMR1L;
return t/290;</t>
  </si>
  <si>
    <t>Timer1 prescale=1:1
→ độ phân giải 200ns/tick
→ chính xác hơn Timer0
Không chiếm ISR (Timer0 dùng rồi)
Chỉ gọi trong STATE_STATION
(mỗi lần đo mất ~30ms)
Timeout: if(t&gt;45000) return 255</t>
  </si>
  <si>
    <t>pwm_init():
  PR2=249
  T2CON=0x04
  // prescale=1, ON
  CCP1CON=0x0C  // PWM mode
  CCP2CON=0x0C
  CCPR1L=0
  CCPR2L=0
  TRISCbits.TRISC2=0 // CCP1
  TRISCbits.TRISC3=0 // CCP2
  // chờ TMR2 overflow</t>
  </si>
  <si>
    <t>CCP1 → RC2 (PWMA – Motor trái)
CCP2 → RC3 (PWMB – Motor phải)
★ ĐÃ ĐỔI: RC3 thay RC1
PR2=249 (Timer2 period)
CCPR1L, CCP1CON&lt;5:4&gt;
CCPR2L, CCP2CON&lt;5:4&gt;
RB0=AIN1(DIR L)  RB2=BIN1(DIR R)</t>
  </si>
  <si>
    <t>f_PWM=Fosc/(4×(PR2+1)×pre)
=20M/(4×250×1)=20kHz
Duty 8-bit (0-255):
  CCPR1L = duty&gt;&gt;2
  CCP1CON&lt;5:4&gt; = duty&amp;0x03
Không cần ISR
Hardware tự phát PWM liên tục</t>
  </si>
  <si>
    <t>Không dùng ISR
CPU ghi CCPR1L trực tiếp
Hardware CCP tự phát PWM
motor_set() gọi bất cứ lúc nào
từ follow_line_update()</t>
  </si>
  <si>
    <t>void motor_set(l,r,dir){
  // DIR: RB0=AIN1, RB2=BIN1
  LATB0=(dir==FWD)?1:0;
  LATB2=(dir==FWD)?1:0;
  // CCP1 Motor trái RC2
  CCPR1L=l&gt;&gt;2;
  CCP1CON=(CCP1CON&amp;0xCF)
         |((l&amp;3)&lt;&lt;4);
  // CCP2 Motor phải RC3
  CCPR2L=r&gt;&gt;2;
  CCP2CON=(CCP2CON&amp;0xCF)
         |((r&amp;3)&lt;&lt;4);
}</t>
  </si>
  <si>
    <t>Timer2 chuyên dụng cho CCP PWM
→ không xung đột Timer0(LED)
  và Timer1(HC-SR04)
CCP1→RC2, CCP2→RC3 (★ đổi từ RC1)
RC1 giờ rảnh để dùng cho LED2
STBY=RB6: kéo HIGH khi chạy
  kéo LOW ở end_entry()</t>
  </si>
  <si>
    <t>LED
(2 LED
RC0 + RC1)</t>
  </si>
  <si>
    <t>led_init():
  TRISCbits.TRISC0=0 // LED1
  TRISCbits.TRISC1=0 // LED2
  output_low(LED1_PIN)
  LATCbits.LATC1=0
  led_tick=0
  led2_blink_en=0</t>
  </si>
  <si>
    <t>RC0 = LED1 (Status)
  → Sáng khi Start
  → Tắt khi thả bi (END)
RC1 = LED2 (Action)
  → Nháy 200ms khi lấy bi
  → Tắt khi rời STATION_STOP
Active-HIGH: 1=sáng</t>
  </si>
  <si>
    <t>Dùng Timer0 ISR led_tick
LED1: flag led1_on
  LATCbits.LATC0=led1_on
LED2: flag led2_blink_en
  toggle khi led_tick%40==0
Không cần register riêng</t>
  </si>
  <si>
    <t>ISR Timer0 quản lý:
  led_tick++ mỗi 5ms
LED1 set/clear theo state:
  follow_line_entry→ON
  end_entry→OFF
LED2 nháy khi ball_ok==1:
  toggle mỗi 200ms</t>
  </si>
  <si>
    <t>// follow_line_entry:
output_high(LED1_PIN);  // LED1 ON
LATCbits.LATC1=0;
// station_stop (ball_ok):
led2_blink_en=1;  // LED2 blink
// station_stop_exit:
led2_blink_en=0;
LATCbits.LATC1=0;
// end_entry:
output_low(LED1_PIN);  // LED1 OFF
LATCbits.LATC1=0;</t>
  </si>
  <si>
    <t>LED điều khiển qua state:
Start→LED1 sáng liên tục
Lấy bi OK→LED2 nháy 200ms
Rời station→LED2 tắt
Thả bi END→LED1 tắt
Idle/Error→cả 2 tắt
★ Không cần timer riêng cho LED
Dùng chung led_tick từ Timer0 ISR</t>
  </si>
  <si>
    <t>HC-SR04
(Siêu âm)</t>
  </si>
  <si>
    <t>hcsr04_init():
  TRISBbits.TRISB4=0 // Trig
  TRISBbits.TRISB5=1 // Echo
  LATBbits.LATB4=0
  timer1_init()  // dùng Timer1</t>
  </si>
  <si>
    <t>RB4=Trig (OUTPUT)
RB5=Echo (INPUT)
Timer1 16-bit đo xung
Prescale 1:1 → 200ns/tick
1cm = 290 ticks
Power: VCC 5V, GND</t>
  </si>
  <si>
    <t>Trig: xung 10µs HIGH
Echo: đo độ rộng xung
Timer1 bật khi Echo↑
Timer1 tắt khi Echo↓
dist_cm = TMR1/290
Timeout: TMR1&gt;45000→255</t>
  </si>
  <si>
    <t>Blocking polling
(không ISR – Timer1 không set IE)
Chờ Echo rise → fall
Max thời gian đo: ~13ms
Gọi chỉ trong STATE_STATION
→ không ảnh hưởng dò line</t>
  </si>
  <si>
    <t>// Trig pulse:
output_high(TRIG_PIN);
delay_us(10);
output_low(TRIG_PIN);
// Đo Echo:
while(!input(ECHO_PIN));
TMR1H=0;TMR1L=0;
setup_timer_1(T1_INTERNAL|T1_DIV_BY_1);
while(input(ECHO_PIN));
setup_timer_1(T1_DISABLED);
dist=((TMR1H&lt;&lt;8)
  |TMR1L)/290;</t>
  </si>
  <si>
    <t>Timer1 không dùng ISR
→ chỉ bật TMR1ON khi cần đo
→ tắt ngay sau khi đo xong
Tránh gọi mỗi vòng lặp
(mỗi lần đo mất 30ms)
Chỉ bật đo khi station_flag=1
Timeout bảo vệ: return 255 nếu
  không có vật cản (&lt;1m)</t>
  </si>
  <si>
    <t>PIN MAP TỔNG HỢP – PIC18F2685</t>
  </si>
  <si>
    <t>Pin</t>
  </si>
  <si>
    <t>Tên</t>
  </si>
  <si>
    <t>Hướng</t>
  </si>
  <si>
    <t>Kết nối</t>
  </si>
  <si>
    <t>Timer/Module</t>
  </si>
  <si>
    <t>Ghi chú</t>
  </si>
  <si>
    <t>RA0</t>
  </si>
  <si>
    <t>SL</t>
  </si>
  <si>
    <t>INPUT</t>
  </si>
  <si>
    <t>IR sensor trái</t>
  </si>
  <si>
    <t>—</t>
  </si>
  <si>
    <t>Active-LOW !input(SL_PIN)</t>
  </si>
  <si>
    <t>RA1</t>
  </si>
  <si>
    <t>SM</t>
  </si>
  <si>
    <t>IR sensor giữa</t>
  </si>
  <si>
    <t>Active-LOW dùng xác nhận rẽ</t>
  </si>
  <si>
    <t>RA2</t>
  </si>
  <si>
    <t>SR</t>
  </si>
  <si>
    <t>IR sensor phải</t>
  </si>
  <si>
    <t>Active-LOW !input(SR_PIN)</t>
  </si>
  <si>
    <t>RB0</t>
  </si>
  <si>
    <t>AIN1</t>
  </si>
  <si>
    <t>OUTPUT</t>
  </si>
  <si>
    <t>1=tiến 0=lùi</t>
  </si>
  <si>
    <t>RB2</t>
  </si>
  <si>
    <t>BIN1</t>
  </si>
  <si>
    <t>RB3</t>
  </si>
  <si>
    <t>BALL</t>
  </si>
  <si>
    <t>IOCB</t>
  </si>
  <si>
    <t>Active-LOW IOCB interrupt</t>
  </si>
  <si>
    <t>RB4</t>
  </si>
  <si>
    <t>Trig</t>
  </si>
  <si>
    <t>HC-SR04 Trigger</t>
  </si>
  <si>
    <t>Timer1</t>
  </si>
  <si>
    <t>Pulse 10µs để kích</t>
  </si>
  <si>
    <t>RB5</t>
  </si>
  <si>
    <t>Echo</t>
  </si>
  <si>
    <t>HC-SR04 Echo</t>
  </si>
  <si>
    <t>Đo xung bằng TMR1</t>
  </si>
  <si>
    <t>RB6</t>
  </si>
  <si>
    <t>STBY</t>
  </si>
  <si>
    <t>HIGH=hoạt động LOW=sleep</t>
  </si>
  <si>
    <t>RB7</t>
  </si>
  <si>
    <t>BTN</t>
  </si>
  <si>
    <t>Nút bấm Start/Reset</t>
  </si>
  <si>
    <t>Active-LOW IOCB</t>
  </si>
  <si>
    <t>RC0</t>
  </si>
  <si>
    <t>LED1</t>
  </si>
  <si>
    <t>LED Status ()</t>
  </si>
  <si>
    <t>Timer0</t>
  </si>
  <si>
    <t>Sáng khi chạy, tắt khi END</t>
  </si>
  <si>
    <t>RC1</t>
  </si>
  <si>
    <t>LED2</t>
  </si>
  <si>
    <t>LED Action ()</t>
  </si>
  <si>
    <t>Nháy 200ms khi lấy bi</t>
  </si>
  <si>
    <t>RC2</t>
  </si>
  <si>
    <t>CCP1</t>
  </si>
  <si>
    <t>Timer2</t>
  </si>
  <si>
    <t>PWM 20kHz</t>
  </si>
  <si>
    <t>RC3</t>
  </si>
  <si>
    <t>CCP2</t>
  </si>
  <si>
    <t>PWM 20kHz ĐÃ ĐỔI từ RC1</t>
  </si>
  <si>
    <t>RC4</t>
  </si>
  <si>
    <t>GRAB</t>
  </si>
  <si>
    <t>RC5</t>
  </si>
  <si>
    <t>RELEASE</t>
  </si>
  <si>
    <t>Kích khi đến END</t>
  </si>
  <si>
    <t>LINE FOLLOWER · PIC18F2685 · TB8833 · 3 IR SENSOR · HC-SR04 · LOOKUP TABLE (No PID)</t>
  </si>
  <si>
    <t>SƠ ĐỒ 3 CẢM BIẾN IR &amp; CẢNH BIẾN SIÊU ÂM HC-SR04 TRÊN PIC18F2685</t>
  </si>
  <si>
    <t xml:space="preserve">  GIẢI THÍCH KỸ THUẬT</t>
  </si>
  <si>
    <t xml:space="preserve">  Bố trí sensor (nhìn từ trên):         pattern = (SL&lt;&lt;2)|(SM&lt;&lt;1)|(SR&lt;&lt;0)</t>
  </si>
  <si>
    <t xml:space="preserve">                                         Bit2=SL · Bit1=SM · Bit0=SR  →  0..7</t>
  </si>
  <si>
    <t xml:space="preserve">     ┌─────────────────────────────┐     Active-LOW: đọc PORTAbits.RAx → đảo bit</t>
  </si>
  <si>
    <t xml:space="preserve">     │  [SL]    [SM]   [SR]        │     1 = thấy LINE ĐEN  /  0 = NỀN TRẮNG</t>
  </si>
  <si>
    <t xml:space="preserve">     │  RA0     RA1    RA2         │</t>
  </si>
  <si>
    <t xml:space="preserve">     │ Trái    Giữa  Phải          │     Siêu âm HC-SR04:</t>
  </si>
  <si>
    <t xml:space="preserve">     │  [HC-SR04] Trig=RB4 Echo=RB5│     dist_cm = pulse_width_us / 58</t>
  </si>
  <si>
    <t>LOOKUP TABLE – 8 PATTERN → MOTOR COMMAND  (const, index trực tiếp O(1))</t>
  </si>
  <si>
    <t>Pat
(SL·SM·SR)</t>
  </si>
  <si>
    <t>Bin</t>
  </si>
  <si>
    <t>Hex</t>
  </si>
  <si>
    <t>Ý nghĩa vị trí xe</t>
  </si>
  <si>
    <t>L_PWM
(0–255)</t>
  </si>
  <si>
    <t>R_PWM
(0–255)</t>
  </si>
  <si>
    <t>DIR</t>
  </si>
  <si>
    <t>Motor State</t>
  </si>
  <si>
    <t>0·0·0</t>
  </si>
  <si>
    <t>000</t>
  </si>
  <si>
    <t>0x00</t>
  </si>
  <si>
    <t xml:space="preserve">Mất line — </t>
  </si>
  <si>
    <t>0</t>
  </si>
  <si>
    <t>STOP</t>
  </si>
  <si>
    <t>MOTOR_STOP / recover</t>
  </si>
  <si>
    <t>0·0·1</t>
  </si>
  <si>
    <t>001</t>
  </si>
  <si>
    <t>0x01</t>
  </si>
  <si>
    <t>SR only — lệch trái nhiều</t>
  </si>
  <si>
    <t>200</t>
  </si>
  <si>
    <t>FWD</t>
  </si>
  <si>
    <t>MOTOR_SHARP_RIGHT</t>
  </si>
  <si>
    <t>0·1·0</t>
  </si>
  <si>
    <t>010</t>
  </si>
  <si>
    <t>0x02</t>
  </si>
  <si>
    <t>SM only — ĐI THẲNG (lý tưởng)</t>
  </si>
  <si>
    <t>160</t>
  </si>
  <si>
    <t>MOTOR_FORWARD</t>
  </si>
  <si>
    <t>0·1·1</t>
  </si>
  <si>
    <t>011</t>
  </si>
  <si>
    <t>0x03</t>
  </si>
  <si>
    <t>SM+SR — lệch trái nhẹ</t>
  </si>
  <si>
    <t>90</t>
  </si>
  <si>
    <t>MOTOR_TURN_RIGHT</t>
  </si>
  <si>
    <t>1·0·0</t>
  </si>
  <si>
    <t>100</t>
  </si>
  <si>
    <t>0x04</t>
  </si>
  <si>
    <t>SL only — lệch phải nhiều</t>
  </si>
  <si>
    <t>MOTOR_SHARP_LEFT</t>
  </si>
  <si>
    <t>1·0·1</t>
  </si>
  <si>
    <t>101</t>
  </si>
  <si>
    <t>0x05</t>
  </si>
  <si>
    <t>SL+SR — junction T / ngã tư</t>
  </si>
  <si>
    <t>MOTOR_STOP→junction</t>
  </si>
  <si>
    <t>1·1·0</t>
  </si>
  <si>
    <t>110</t>
  </si>
  <si>
    <t>0x06</t>
  </si>
  <si>
    <t>SL+SM — lệch phải nhẹ</t>
  </si>
  <si>
    <t>MOTOR_TURN_LEFT</t>
  </si>
  <si>
    <t>1·1·1</t>
  </si>
  <si>
    <t>111</t>
  </si>
  <si>
    <t>0x07</t>
  </si>
  <si>
    <t>ALL — giao lộ hoàn toàn</t>
  </si>
  <si>
    <t>PWM PIC18F2685 – CCP1(RC2) &amp; CCP2(RC1) · Timer2 · 20kHz · 8-bit duty 0–255</t>
  </si>
  <si>
    <t xml:space="preserve">  Fosc=20MHz, PR2=249, TMR2_prescaler=1  →  f_PWM = 20M/(4×250×1) = 20 kHz</t>
  </si>
  <si>
    <t xml:space="preserve">  Duty set: CCPR1L = duty&gt;&gt;2;   CCP1CON bits&lt;5:4&gt; = duty &amp; 0x03</t>
  </si>
  <si>
    <t xml:space="preserve">          BIN1=RB2(DIR_R), BIN2=RB3 fixed LOW, PWMB=CCP2(RC1)  STBY=RB6 (HIGH=enable)</t>
  </si>
  <si>
    <t>STATE MACHINE – CHI TIẾT HÀM TỪNG STATE: entry() · update() · exit() · PIC18F2685</t>
  </si>
  <si>
    <t>10 STATE × 8 CỘT — HÀM C CẦN VIẾT CHO TỪNG STATE</t>
  </si>
  <si>
    <t>State</t>
  </si>
  <si>
    <t>entry()
Khởi tạo</t>
  </si>
  <si>
    <t>update()
Vòng lặp chính</t>
  </si>
  <si>
    <t>exit()
Dọn dẹp</t>
  </si>
  <si>
    <t>Hardware / Register
PIC18 cần gọi</t>
  </si>
  <si>
    <t>Biến &amp; Flag
quan trọng</t>
  </si>
  <si>
    <t>Điều kiện chuyển
state</t>
  </si>
  <si>
    <t>Next State</t>
  </si>
  <si>
    <t xml:space="preserve">  GIẢI THÍCH THIẾT KẾ STATE MACHINE</t>
  </si>
  <si>
    <t>STATE_IDLE</t>
  </si>
  <si>
    <t>idle_entry():
  motor_set(0,0,STOP)
  LED_STATUS=0
  clear_all_flags()
  last_valid_pat=0x02</t>
  </si>
  <si>
    <t>idle_update():
  // Poll nút bấm
  if(input(BTN_PIN)==0){
    // active-LOW button
    run_flag=1
    transition(FOLLOW_LINE)
  }</t>
  </si>
  <si>
    <t>idle_exit():
  LED_STATUS=1
  last_valid_pat=0x02</t>
  </si>
  <si>
    <t>input(BTN_PIN) (BTN)
PORTCbits.RC0 (LED_STATUS)
motor_set(0,0,STOP)
T6B8833 STBY=LOW</t>
  </si>
  <si>
    <t>run_flag
next_state
last_valid_pat</t>
  </si>
  <si>
    <t xml:space="preserve">input(BTN_PIN)==0 → FOLLOW_LINE
</t>
  </si>
  <si>
    <t>STATE_FOLLOW_LINE</t>
  </si>
  <si>
    <t xml:space="preserve">  ▸ Tại sao chia 3 hàm entry/update/exit
     entry() chạy đúng 1 lần khi vào state — khởi tạo timer, LED, motor. update() chạy liên tục trong while(1) — đọc sensor, ra quyết định. exit() dọn dẹp flag trước khi rời — tránh bug do flag cũ.</t>
  </si>
  <si>
    <t>STATE_CALIBRATION</t>
  </si>
  <si>
    <t>calib_entry():
  motor_set(0,0,STOP)
  LED_blink(YELLOW,100)
  calib_step=0
  white_val[0]=white_val[1]=
    white_val[2]=0
  black_val[0]=black_val[1]=
    black_val[2]=0</t>
  </si>
  <si>
    <t>calib_update():
  switch(calib_step){
    case 0: // đọc nền trắng
      LED_YELLOW=1
      delay_ms(500)
      white_val[0]=input(SL_PIN)
      white_val[1]=input(SM_PIN)
      white_val[2]=input(SR_PIN)
      calib_step=1
      break
    case 1: // chờ người dùng
      // đặt xe lên line đen
      // bấm nút tiếp tục
      if(!input(BTN_PIN))
        calib_step=2
      break
    case 2: // đọc line đen
      black_val[0]=input(SL_PIN)
      black_val[1]=input(SM_PIN)
      black_val[2]=input(SR_PIN)
      calib_done=1
      transition(STATE_IDLE)
      break
  }</t>
  </si>
  <si>
    <t>calib_exit():
  LED_YELLOW=0
  // Ngưỡng đã lưu
  // trong white/black_val[]</t>
  </si>
  <si>
    <t>input(SL_PIN)/1/2
  (đọc giá trị raw)
delay_ms(500)
input(BTN_PIN) (BTN)
LED_blink(YELLOW,100)
motor_set(0,0,STOP)</t>
  </si>
  <si>
    <t>calib_step (0/1/2)
calib_done
white_val[3]
black_val[3]
threshold[3]</t>
  </si>
  <si>
    <t>calib_step==2
  (đọc đen xong)
  → STATE_IDLE
Nếu skip calib:
  → STATE_FOLLOW_LINE</t>
  </si>
  <si>
    <t>STATE_IDLE
(hoặc FOLLOW_LINE)</t>
  </si>
  <si>
    <t xml:space="preserve">  ▸ Tại sao dùng hàm transition()
     Tập trung logic chuyển state vào 1 hàm duy nhất. Đảm bảo exit() state cũ luôn được gọi trước entry() state mới — không bao giờ bỏ sót bước dọn dẹp.</t>
  </si>
  <si>
    <t>follow_line_entry():
  STBY_PIN=1 // enable TB8833
  motor_set(160,160,FWD)
  LED_STATUS=1
  junction_flag=0
  station_flag=0</t>
  </si>
  <si>
    <t>follow_line_update():
  // Đọc 3 sensor
  SL=!input(SL_PIN)
  SM=!input(SM_PIN)
  SR=!input(SR_PIN)
  pat=(SL&lt;&lt;2)|(SM&lt;&lt;1)|SR
  // Kiểm tra junction
  if(is_junction(pat)){
    junction_flag=1
    transition(NAVIGATION)
    return
  }
  // Kiểm tra station
  if(station_flag){
    transition(STATION)
    return
  }
  // Kiểm tra back
  if(back_flag){
    transition(STATE_BACK)
    return
  }
  // Phát hiện nhiễu / lỗi
  if(error_flag){
    transition(STATE_ERROR)
    return
  }
  // Mất line → recover
  if(pat==0x00){
    miss_count++
    if(miss_count&gt;=MISS_THRESH)
      error_flag=1
    pat=last_valid_pat
  } else {
    miss_count=0
    last_valid_pat=pat
  }
  // Xử lý nhiễu: debounce pattern
  if(noise_count&gt;0) noise_count--
  // Tra bảng
  cmd=lookup_motor(pat)
  motor_set(cmd.L,cmd.R,FWD)</t>
  </si>
  <si>
    <t>follow_line_exit():
  motor_set(0,0,STOP)
  junction_flag=0
  station_flag=0</t>
  </si>
  <si>
    <t>input(SL_PIN)/RA1/RA2
  (3 IR sensor)
lookup_motor(pattern)
motor_set(L,R,dir)
PORTCbits.RC0 (LED)</t>
  </si>
  <si>
    <t>SL,SM,SR (int8)
pattern (int8 0-7)
last_valid_pat
junction_flag
station_flag</t>
  </si>
  <si>
    <t>is_junction(pat)==1
  → NAVIGATION
station_flag==1
  → STATION
end_flag==1
  → END
back_flag==1
  → BACK
error_flag==1
  → ERROR
reset_flag
  → IDLE</t>
  </si>
  <si>
    <t>STATE_NAVIGATION
STATE_STATION
STATE_END
STATE_BACK
STATE_ERROR
STATE_IDLE</t>
  </si>
  <si>
    <t xml:space="preserve">  ▸ Tại sao poll sensor trong update()
     PIC18F2685 có RAM hạn chế (~3936 bytes). Hạn chế quá nhiều interrupt để tiết kiệm stack. Polling trong vòng lặp ~1ms đủ nhanh cho xe dò line tốc độ thấp.</t>
  </si>
  <si>
    <t>STATE_STATION</t>
  </si>
  <si>
    <t>station_entry():
  motor_set(80,80,FWD)
  LED_blink(YELLOW,200)
  approach_tmr=
    TMR1_get_ms()</t>
  </si>
  <si>
    <t>station_update():
  // Bám line chậm
  SL=!input(SL_PIN)
  SM=!input(SM_PIN)
  SR=!input(SR_PIN)
  pat=(SL&lt;&lt;2)|(SM&lt;&lt;1)|SR
  cmd=lookup_motor(pat)
  // Giảm tốc 50%
  motor_set(cmd.L&gt;&gt;1,
            cmd.R&gt;&gt;1,FWD)
  // Đo siêu âm
  dist=hcsr04_read_cm()
  if(dist&lt;=STOP_CM){
    transition(STATION_STOP)
  }</t>
  </si>
  <si>
    <t>station_exit():
  motor_set(0,0,STOP)
  LED_YELLOW=1</t>
  </si>
  <si>
    <t>input(SL_PIN)/1/2
hcsr04_read_cm()
  Trig=RB4 Echo=RB5
  Timer0 16-bit
motor_set(L&gt;&gt;1,R&gt;&gt;1,FWD)
LED blink</t>
  </si>
  <si>
    <t>dist (int8 cm)
STOP_CM=8
approach_tmr
station_id</t>
  </si>
  <si>
    <t>hcsr04_read_cm()
  &lt;= STOP_CM (3cm)</t>
  </si>
  <si>
    <t>STATE_STATION_STOP</t>
  </si>
  <si>
    <t>station_stop_entry():
  motor_set(0,0,STOP)
  GRAB_PIN=1 // RB6→servo
  grab_tmr=TMR1_get_ms()
  ball_ok=0</t>
  </si>
  <si>
    <t>station_stop_exit():
  GRAB_PIN=0 // RB6
  grab_tmr=0
  LED_YELLOW=0</t>
  </si>
  <si>
    <t>PORTCbits.RC3=GRAB_PIN
input(PIN_B3)=BALL_SENSOR
TMR1_elapsed(grab_tmr)
motor_set(0,0,STOP)</t>
  </si>
  <si>
    <t>ball_ok
grab_tmr
GRAB_MS=2000
GRAB_PIN=RC3
BALL_SENSOR=RB3</t>
  </si>
  <si>
    <t>ball_ok==1
  → STATION_BACK
TMR1_elapsed
  &gt;GRAB_MS
  → FOLLOW_LINE</t>
  </si>
  <si>
    <t>STATE_STATION_BACK
STATE_FOLLOW_LINE</t>
  </si>
  <si>
    <t xml:space="preserve">  ▸ Tại sao siêu âm ở STATE_STATION
     Chỉ bật đo siêu âm khi đã phát hiện station_flag. Tránh gọi hcsr04_read_cm() mỗi vòng lặp (mỗi lần đo mất ~30ms do xung Echo) — không làm chậm dò line chính.</t>
  </si>
  <si>
    <t>STATE_STATION_BACK</t>
  </si>
  <si>
    <t>station_back_entry():
  motor_set(120,120,BWD)
  LED_blink(GREEN,300)
  back_tmr=
    TMR1_get_ms()</t>
  </si>
  <si>
    <t>station_back_update():
  // Lùi theo thời gian
  if(TMR1_elapsed(
       back_tmr)
     &gt;=BACK_MS){
    motor_set(0,0,STOP)
    back_done=1
    transition(NAVIGATION)
  }</t>
  </si>
  <si>
    <t>station_back_exit():
  motor_set(0,0,STOP)
  back_done=0
  back_tmr=0
  LED_GREEN=0</t>
  </si>
  <si>
    <t>motor_set(120,120,BWD)
TMR1_elapsed(back_tmr)
CCP1/CCP2 DIR reversed
RB0=0 RB2=0 (BWD)</t>
  </si>
  <si>
    <t>back_done
back_tmr
BACK_MS=600</t>
  </si>
  <si>
    <t>TMR1_elapsed(back_tmr)
  &gt;= BACK_MS (600ms)</t>
  </si>
  <si>
    <t>STATE_NAVIGATION</t>
  </si>
  <si>
    <t xml:space="preserve">  ▸ Tại sao lùi bằng thời gian cố định
     Encoder tốn thêm 2 pin và code phức tạp. Với track cố định, BACK_MS=600ms đủ đưa xe ra khỏi station. Dễ chỉnh: tăng/giảm BACK_MS theo khoảng cách thực tế.</t>
  </si>
  <si>
    <t>nav_entry():
  motor_set(0,0,STOP)
  LED_BLUE=1
  jtype=detect_junction()
  tdir=route_table
         [cur_node]
  turn_tmr=
    TMR1_get_ms()</t>
  </si>
  <si>
    <t>nav_update():
  switch(tdir){
    case TURN_L:
      motor_set(0,200,FWD)
      break
    case TURN_R:
      motor_set(200,0,FWD)
      break
    case GO_STR:
      motor_set(160,160,FWD)
      break
  }
  // Chờ SM thấy line
  SM=!input(SM_PIN)
  if(SM &amp;&amp; TMR1_elapsed(
     turn_tmr)&gt;MIN_TURN){
    cur_node++
    transition(FOLLOW_LINE)
    return
  }
  if(TMR1_elapsed(turn_tmr)
     &gt;TURN_TO){
    transition(FOLLOW_LINE)
  }</t>
  </si>
  <si>
    <t>nav_exit():
  motor_set(0,0,STOP)
  junction_flag=0
  nav_done=0
  LED_BLUE=0</t>
  </si>
  <si>
    <t>input(SM_PIN) (SM)
motor_set(0,200,FWD)
  hoặc (200,0,FWD)
TMR1_elapsed(turn_tmr)
route_table[] const</t>
  </si>
  <si>
    <t>jtype
tdir
nav_done
cur_node
turn_tmr
MIN_TURN=200ms
TURN_TO=1500ms</t>
  </si>
  <si>
    <t>SM==1 &amp;&amp; elapsed
  &gt;MIN_TURN
  → FOLLOW_LINE
elapsed&gt;TURN_TO
  → FOLLOW_LINE</t>
  </si>
  <si>
    <t>STATE_FOLLOW_LINE
STATE_END</t>
  </si>
  <si>
    <t xml:space="preserve">  ▸ Tại sao STBY_PIN kiểm soát TB8833
     Khi STBY=LOW, TB8833 tắt hoàn toàn — tiết kiệm điện và bảo vệ motor. Chỉ kéo HIGH khi cần chạy (follow_line_entry). Tắt ở end_entry() an toàn toàn hệ thống.</t>
  </si>
  <si>
    <t>STATE_BACK</t>
  </si>
  <si>
    <t>back_entry():
  motor_set(120,120,BWD)
  LED_blink(RED,200)
  fsm_back_tmr=
    TMR1_get_ms()
  back_done=0</t>
  </si>
  <si>
    <t>back_update():
  // Lùi cố định BACK_RESET_MS
  if(TMR1_elapsed(
       fsm_back_tmr)
     &gt;= BACK_RESET_MS){
    motor_set(0,0,STOP)
    back_done=1
    // Reset FSM cho lượt
    // chạy tiếp theo
    cur_node=0
    clear_all_flags()
    transition(STATE_IDLE)
  }</t>
  </si>
  <si>
    <t>back_exit():
  motor_set(0,0,STOP)
  back_done=0
  fsm_back_tmr=0
  LED_RED=0</t>
  </si>
  <si>
    <t>motor_set(120,120,BWD)
TMR1_elapsed(fsm_back_tmr)
cur_node=0
clear_all_flags()
LED_blink(RED,200ms)</t>
  </si>
  <si>
    <t>back_done
fsm_back_tmr
BACK_RESET_MS=800
cur_node (reset=0)</t>
  </si>
  <si>
    <t>TMR1_elapsed(fsm_back_tmr)
  &gt;= BACK_RESET_MS (800ms)</t>
  </si>
  <si>
    <t xml:space="preserve">  ▸ Tại sao cần STATE_ERROR riêng biệt
     Tập trung toàn bộ logic xử lý lỗi vào 1 state thay vì rải if-else khắp nơi. Dễ mở rộng thêm loại lỗi mới. Motor luôn dừng và STBY=LOW khi vào error — bảo vệ phần cứng.</t>
  </si>
  <si>
    <t>STATE_ERROR</t>
  </si>
  <si>
    <t>error_entry():
  motor_set(0,0,STOP)
  STBY_PIN=0
  LED_blink(RED_ALL,100)
  error_code=detect_error()
  error_tmr=TMR1_get_ms()
  error_retry=0</t>
  </si>
  <si>
    <t>error_update():
  // Nháy LED báo lỗi
  led_blink_all(100)
  // Case 1: noise – retry
  if(error_code==ERR_NOISE){
    if(TMR1_elapsed(error_tmr)
       &gt;=NOISE_WAIT_MS){
      // thử lại bám line
      transition(
        STATE_FOLLOW_LINE)
    }
  }
  // Case 2: mất line lâu
  if(error_code==ERR_LOSTLINE){
    error_retry++
    if(error_retry&lt;MAX_RETRY){
      // lùi tìm line
      motor_set(80,80,BWD)
      delay_ms(300)
      transition(
        STATE_FOLLOW_LINE)
    } else {
      transition(STATE_END)
    }
  }
  // Case 3: timeout toàn bộ
  if(TMR1_elapsed(error_tmr)
     &gt;=ERROR_TIMEOUT_MS){
    transition(STATE_END)
  }
  // Reset bằng BTN
  if(!input(BTN_PIN))
    transition(STATE_IDLE)</t>
  </si>
  <si>
    <t>error_exit():
  error_code=ERR_NONE
  error_retry=0
  error_tmr=0
  LED_RED=0
  STBY_PIN=1</t>
  </si>
  <si>
    <t>motor_set(0,0,STOP)
STBY_PIN=RB6 (tắt TB8833)
led_blink_all(100ms)
input(BTN_PIN) (BTN reset)
TMR1_elapsed(error_tmr)</t>
  </si>
  <si>
    <t>error_code
  (ERR_NONE/NOISE/
   LOSTLINE/SENSOR)
error_retry
error_tmr
NOISE_WAIT_MS=200
MAX_RETRY=3
ERROR_TIMEOUT=5000</t>
  </si>
  <si>
    <t>error_code==ERR_NOISE:
  elapsed&gt;=NOISE_WAIT
  → FOLLOW_LINE
error_code==ERR_LOSTLINE
  retry&lt;MAX_RETRY
  → FOLLOW_LINE
  retry&gt;=MAX_RETRY
  → END
elapsed&gt;=ERROR_TIMEOUT
  → END
BTN pressed→IDLE</t>
  </si>
  <si>
    <t>STATE_FOLLOW_LINE
STATE_END
STATE_IDLE</t>
  </si>
  <si>
    <t xml:space="preserve">  ▸ Tại sao dùng miss_count thay vì flag ngay
     Nhiễu cơ học (rung, ánh sáng) có thể gây pat==0x00 trong 1–2 chu kỳ. miss_count tích lũy 10 chu kỳ liên tiếp mới set error_flag — lọc nhiễu ngắn hạn, chỉ báo lỗi thật sự.</t>
  </si>
  <si>
    <t>STATE_END</t>
  </si>
  <si>
    <t>end_entry():
  motor_set(0,0,STOP)
  STBY_PIN=0 // TB8833 off
  RELEASE_PIN=1 // RC4
  delay_ms(500)
  RELEASE_PIN=0
  LED_WHITE=1</t>
  </si>
  <si>
    <t>end_update():
  // Chờ reset
  if(!input(BTN_PIN)){
    // BTN active-LOW
    transition(IDLE)
  }</t>
  </si>
  <si>
    <t>end_exit():
  clear_all_flags()
  cur_node=0
  LED_WHITE=0</t>
  </si>
  <si>
    <t>STBY_PIN=RB6 (TB8833)
RELEASE_PIN=RC4
delay_ms(500) XC8
PORTCbits.RC0 LED_WHITE
input(BTN_PIN) BTN</t>
  </si>
  <si>
    <t>reset_flag
mission_done
cur_node
RELEASE_PIN=RC4</t>
  </si>
  <si>
    <t>input(BTN_PIN)==0
(BTN active-LOW)</t>
  </si>
  <si>
    <t xml:space="preserve">  ▸ Tại sao ERROR có nhiều nhánh retry
     ERR_NOISE: chờ 200ms rồi tự phục hồi — không cần người can thiệp. ERR_LOSTLINE: lùi tìm line, tối đa 3 lần — sau đó dừng an toàn. ERROR_TIMEOUT=5s bảo đảm hệ thống không kẹt vĩnh viễn.</t>
  </si>
  <si>
    <t>Direction</t>
  </si>
  <si>
    <t>C Function Call</t>
  </si>
  <si>
    <t>Dùng trong State(s)</t>
  </si>
  <si>
    <t>Giải thích hành vi</t>
  </si>
  <si>
    <t xml:space="preserve">  GIẢI THÍCH DRIVER TB8833 &amp; PWM PIC18</t>
  </si>
  <si>
    <t>MOTOR_STOP</t>
  </si>
  <si>
    <t>motor_set(0, 0, DIR_STOP)</t>
  </si>
  <si>
    <t>IDLE·STATION_STOP·END</t>
  </si>
  <si>
    <t xml:space="preserve">  ▸ Tại sao AIN2/BIN2 nối cố định GND
     TB8833 điều khiển chiều bằng AIN1/AIN2. Nếu AIN1=1,AIN2=0 → tiến; AIN1=0,AIN2=0 → coast (dừng nhanh). Nối AIN2=GND tiết kiệm 2 pin GPIO quý giá trên PIC18 28-pin.</t>
  </si>
  <si>
    <t>motor_set(160, 160, DIR_FWD)</t>
  </si>
  <si>
    <t>FOLLOW_LINE (pat 0x02)</t>
  </si>
  <si>
    <t>Cân bằng. AIN1=1,BIN1=1, PWMA=PWMB=160/255 duty.</t>
  </si>
  <si>
    <t xml:space="preserve">  ▸ Tại sao PWM 8-bit thay 10-bit
     PIC18 CCP hỗ trợ 10-bit nhưng 8-bit (CCPR1L) đủ: 256 mức tốc độ cho xe dò line. Code đơn giản hơn: chỉ cần ghi CCPR1L, không cần thao tác thêm bit CCP1CON&lt;5:4&gt;.</t>
  </si>
  <si>
    <t>MOTOR_TURN_L</t>
  </si>
  <si>
    <t>motor_set(90, 160, DIR_FWD)</t>
  </si>
  <si>
    <t>FOLLOW_LINE (pat 0x06)</t>
  </si>
  <si>
    <t>Trái chậm hơn phải. Xe bẻ nhẹ sang trái để chỉnh line.</t>
  </si>
  <si>
    <t xml:space="preserve">  ▸ Tại sao tốc độ 160/255 (≈63%)
     Xe dò line không cần chạy full speed. 63% giữ xe đủ nhanh phản xạ với sensor nhưng không trượt góc cua. Dễ chỉnh bằng cách thay đổi mảng motor_table[] ở Sheet 1.</t>
  </si>
  <si>
    <t>MOTOR_TURN_R</t>
  </si>
  <si>
    <t>motor_set(160, 90, DIR_FWD)</t>
  </si>
  <si>
    <t>FOLLOW_LINE (pat 0x03)</t>
  </si>
  <si>
    <t>Phải chậm hơn trái. Xe bẻ nhẹ sang phải để chỉnh line.</t>
  </si>
  <si>
    <t xml:space="preserve">  ▸ Tại sao STBY pin quan trọng
     Nếu quên kéo STBY=HIGH, TB8833 ở chế độ sleep — motor không quay dù PWM đúng. Nguyên nhân bug phổ biến nhất khi lắp TB8833 lần đầu. Luôn set STBY=1 trong follow_line_entry().</t>
  </si>
  <si>
    <t>MOTOR_HARD_L</t>
  </si>
  <si>
    <t>motor_set(0, 200, DIR_FWD)</t>
  </si>
  <si>
    <t>FOLLOW_LINE(0x04)·NAV</t>
  </si>
  <si>
    <t>Trái dừng, phải chạy nhanh. Xoay gắt tại chỗ sang trái.</t>
  </si>
  <si>
    <t xml:space="preserve">  ▸ Tại sao nguồn motor tách biệt
     Motor gây nhiễu điện áp (voltage spike) khi đổi chiều. Nguồn riêng (LiPo 7.4V) + tụ 100µF ngăn spike làm reset PIC18. GND chung nhưng VCC tách biệt.</t>
  </si>
  <si>
    <t>MOTOR_HARD_R</t>
  </si>
  <si>
    <t>motor_set(200, 0, DIR_FWD)</t>
  </si>
  <si>
    <t>FOLLOW_LINE(0x01)·NAV</t>
  </si>
  <si>
    <t>Phải dừng, trái chạy nhanh. Xoay gắt tại chỗ sang phải.</t>
  </si>
  <si>
    <t xml:space="preserve">  ▸ Tại sao tốc độ lùi 120/255
     Khi lùi không cần bám line (không đọc sensor). Tốc độ thấp hơn tiến (120 vs 160) đảm bảo an toàn va chạm nếu có vật cản phía sau. BACK_MS=600ms điều chỉnh quãng đường.</t>
  </si>
  <si>
    <t>MOTOR_BACKWARD</t>
  </si>
  <si>
    <t>120</t>
  </si>
  <si>
    <t>BWD</t>
  </si>
  <si>
    <t>motor_set(120, 120, DIR_BWD)</t>
  </si>
  <si>
    <t>TB8833 – KẾT NỐI PIN &amp; LOGIC ĐIỀU KHIỂN</t>
  </si>
  <si>
    <t>Tín hiệu TB8833</t>
  </si>
  <si>
    <t>PIC18 Pin</t>
  </si>
  <si>
    <t>Giá trị logic</t>
  </si>
  <si>
    <t>Ý nghĩa</t>
  </si>
  <si>
    <t>PWMA (Motor trái)</t>
  </si>
  <si>
    <t>RC2 / CCP1</t>
  </si>
  <si>
    <t>0–255 (duty)</t>
  </si>
  <si>
    <t>PWM 20kHz từ CCP1. Điều khiển tốc độ motor trái.</t>
  </si>
  <si>
    <t>AIN1 (DIR trái)</t>
  </si>
  <si>
    <t>1=tiến / 0=lùi</t>
  </si>
  <si>
    <t>Chiều quay motor trái. AIN2 nối cố định GND.</t>
  </si>
  <si>
    <t>PWMB (Motor phải)</t>
  </si>
  <si>
    <t>RC1 / CCP2</t>
  </si>
  <si>
    <t>PWM 20kHz từ CCP2. Điều khiển tốc độ motor phải.</t>
  </si>
  <si>
    <t>BIN1 (DIR phải)</t>
  </si>
  <si>
    <t>Chiều quay motor phải. BIN2 nối cố định GND.</t>
  </si>
  <si>
    <t>STBY (Enable)</t>
  </si>
  <si>
    <t>1=hoạt động</t>
  </si>
  <si>
    <t>VM (Power)</t>
  </si>
  <si>
    <t>7.4V LiPo</t>
  </si>
  <si>
    <t>POWER</t>
  </si>
  <si>
    <t>6–10V</t>
  </si>
  <si>
    <t>Nguồn cấp motor. Tách biệt VCC logic 5V của PIC18.</t>
  </si>
  <si>
    <t>VCC (Logic)</t>
  </si>
  <si>
    <t>5V</t>
  </si>
  <si>
    <t>2.7–5.5V</t>
  </si>
  <si>
    <t>GND</t>
  </si>
  <si>
    <t>GND chung</t>
  </si>
  <si>
    <t>0V</t>
  </si>
  <si>
    <t>motor_set() – CODE C</t>
  </si>
  <si>
    <t>void motor_set(int8 l, int8 r, MotorDir_t dir) {
    if(dir == DIR_STOP) { l = 0; r = 0; }
    // --- Chiều quay: AIN1/BIN1 ---
    LATBbits.LATB0 = (dir == DIR_FWD) ? 1 : 0;  // AIN1 Motor trái
    LATBbits.LATB2 = (dir == DIR_FWD) ? 1 : 0;  // BIN1 Motor phải
    // --- PWM duty (CCP, 8-bit) ---
    // CCPR1L = l&gt;&gt;2;  CCP1CON&lt;5:4&gt; = l &amp; 0x03
    set_pwm1_duty((int16)l*4);
    // CCS: 10-bit handled by set_pwm1_duty
    set_pwm2_duty((int16)r*4);
    // CCS: 10-bit handled by set_pwm2_duty
}</t>
  </si>
  <si>
    <t>C CODE SKELETON – PIC18F2685 · CCS C COMPILER · 3 SENSOR · LOOKUP TABLE · No PID · No Float</t>
  </si>
  <si>
    <t xml:space="preserve">9 KHỐI CODE C </t>
  </si>
  <si>
    <t>① Enum, typedef &amp; includes</t>
  </si>
  <si>
    <t xml:space="preserve">  GIẢI THÍCH THIẾT KẾ</t>
  </si>
  <si>
    <t>① Enum, typedef &amp; includes (CCS C)</t>
  </si>
  <si>
    <t xml:space="preserve">  ▸ Tại sao dùng const cho motor_table
     const trong XC8 đặt mảng vào FLASH (Program Memory) thay vì RAM. PIC18F2685 có 96KB Flash nhưng chỉ 3936B RAM — tiết kiệm RAM bằng const là bắt buộc.</t>
  </si>
  <si>
    <t>// ════ CCS C COMPILER – PIC18F2685 ════
#include &lt;18F2685.h&gt;
#device ADC=8
#fuses HS, NOWDT, NOLVP, PUT, NOPROTECT
#use delay(clock=20MHz)
// ─── Kiểu dữ liệu CCS C ───────────────────────────────
typedef unsigned int8  int8;
typedef unsigned int16 int16;
typedef unsigned int32 int32;
typedef enum { STATE_IDLE=0, STATE_CALIBRATION,
               STATE_FOLLOW_LINE, STATE_STATION,
               STATE_STATION_STOP, STATE_STATION_BACK,
               STATE_NAVIGATION, STATE_BACK,
               STATE_ERROR, STATE_END } SystemState_t;
typedef enum { DIR_STOP=0, DIR_FWD, DIR_BWD } MotorDir_t;
typedef enum { TURN_L=0, TURN_R, GO_STR } TurnDir_t;
typedef enum { ERR_NONE=0, ERR_NOISE, ERR_LOSTLINE,
               ERR_SENSOR, ERR_TIMEOUT } ErrorCode_t;
typedef struct { int8 L; int8 R; MotorDir_t dir; } MotorCmd_t;
// ─── Pin defines (CCS C) ──────────────────────────────
#define STBY_PIN    PIN_B6
#define GRAB_PIN    PIN_C3
#define RELEASE_PIN PIN_C4
#define BTN_PIN     PIN_B7
#define TRIG_PIN    PIN_B4
#define ECHO_PIN    PIN_B5
#define LED1_PIN    PIN_C0
#define LED2_PIN    PIN_C1
#define SL_PIN      PIN_A0
#define SM_PIN      PIN_A1
#define SR_PIN      PIN_A2
#define AIN1_PIN    PIN_B0
#define BIN1_PIN    PIN_B2
// ─── Global flags ─────────────────────────────────────
volatile int32 ms_tick = 0;
volatile int1     junction_flag=0, station_flag=0;
volatile int1     ball_ok=0, run_flag=0, back_flag=0, error_flag=0;
int1  end_flag=0, reset_flag=0;
int8  cur_node=0, last_valid_pat=0x02, nav_done=0;
int32 grab_tmr=0, back_tmr=0, turn_tmr=0, fsm_back_tmr=0;
int8  error_retry=0, miss_count=0;
ErrorCode_t error_code = ERR_NONE;
SystemState_t current_state = STATE_IDLE;</t>
  </si>
  <si>
    <t xml:space="preserve">  ▸ Tại sao #INT_TIMER1 HIGH
      high_priority ISR dùng GIEH bit, low_priority dùng GIEL. Timer1 (tick) đặt high để không bị trễ bởi ISR khác.</t>
  </si>
  <si>
    <t>② Lookup Table – 8 pattern (CCS C)</t>
  </si>
  <si>
    <t xml:space="preserve">  ▸ Tại sao IOCB cho PORTB Change
     IOCB (Interrupt On Change PORTB) cho phép ngắt khi bất kỳ chân RB nào thay đổi. Tiết kiệm hơn polling liên tục. Dùng cho station sensor (RB3) và nút bấm (RB7).</t>
  </si>
  <si>
    <t>// pattern = (SL&lt;&lt;2)|(SM&lt;&lt;1)|SR  (0..7)
// CCS C: dùng const keyword (lưu ROM/FLASH)
const MotorCmd_t motor_table[8] = {
/*0b000*/ {  0,   0, DIR_STOP}, // mất line → recover
/*0b001*/ {200,   0, DIR_FWD }, // SR only  → rẽ gắt phải
/*0b010*/ {160, 160, DIR_FWD }, // SM only  → thẳng
/*0b011*/ {160,  90, DIR_FWD }, // SM+SR    → lệch phải nhẹ
/*0b100*/ {  0, 200, DIR_FWD }, // SL only  → rẽ gắt trái
/*0b101*/ {  0,   0, DIR_STOP}, // SL+SR    → junction
/*0b110*/ { 90, 160, DIR_FWD }, // SL+SM    → lệch trái nhẹ
/*0b111*/ {  0,   0, DIR_STOP}, // ALL      → junction
};
MotorCmd_t lookup_motor(int8 pat) {
    return motor_table[pat &amp; 0x07];
}
int8 is_junction(int8 pat) {
    return (pat == 0x05 || pat == 0x07);
}
int8 read_sensor_raw(void) {
    int8 SL = !input(SL_PIN); // active-LOW
    int8 SM = !input(SM_PIN);
    int8 SR = !input(SR_PIN);
    return (SL&lt;&lt;2)|(SM&lt;&lt;1)|SR;
}</t>
  </si>
  <si>
    <t xml:space="preserve">  ▸ Tại sao tách #define ra riêng
     Mọi hằng số điều chỉnh (tốc độ, timeout, pin) đặt trong 1 khối #define duy nhất. Khi debug hoặc đổi track, chỉ sửa 1 chỗ thay vì tìm kiếm trong toàn bộ code.</t>
  </si>
  <si>
    <t>③ motor_set() – CCS C CCP PWM</t>
  </si>
  <si>
    <t xml:space="preserve">  ▸ Tại sao return 0 trong main()
     PIC18 không bao giờ thoát main(), return 0 sau while(1) là dead code nhưng loại bỏ warning từ compiler.</t>
  </si>
  <si>
    <t>// CCS C PWM: setup_ccp1/2(CCP_PWM), set_pwm1_duty(val)
// set_pwm1_duty nhận 0–1023 (10-bit) → scale từ 0-255: duty*4
void motor_set(int8 l, int8 r, MotorDir_t dir) {
    if(dir == DIR_STOP) { l = 0; r = 0; }
    // Chiều quay: AIN1=RB0, BIN1=RB2
    output_bit(AIN1_PIN, (dir == DIR_FWD) ? 1 : 0);
    output_bit(BIN1_PIN, (dir == DIR_FWD) ? 1 : 0);
    // PWM duty – CCS C: set_pwm1_duty nhận giá trị 10-bit
    // Từ 8-bit (0-255) → 10-bit (0-1023): nhân 4
    set_pwm1_duty((int16)l * 4);  // CCP1→RC2 Motor trái
    set_pwm2_duty((int16)r * 4);  // CCP2→RC3 Motor phải
}</t>
  </si>
  <si>
    <t xml:space="preserve">  ▸ Tại sao route_table là const
     route_table[] lưu hành trình cố định theo track. const đặt vào FLASH — không tốn RAM. Chỉ cần thay đổi mảng này khi đổi track, không sửa logic state machine.</t>
  </si>
  <si>
    <t>④ hcsr04_read_cm() – CCS C Timer1</t>
  </si>
  <si>
    <t xml:space="preserve">  ▸ Tại sao Timer0 đo HC-SR04 thay delay
     delay_us() blocking — CPU không làm gì khác. Timer0 hardware đo thời gian chính xác hơn trong khi CPU có thể check timeout. Tuy nhiên vòng polling vẫn blocking ngắn (~30ms/lần đo).</t>
  </si>
  <si>
    <t>// Timer1 CCS C: setup_timer_1(), get_timer1(), set_timer1()
int8 hcsr04_read_cm(void) {
    int16 count, to = 0;
    // Gửi Trig 10µs
    output_high(TRIG_PIN);
    delay_us(10);
    output_low(TRIG_PIN);
    // Chờ Echo lên HIGH (timeout)
    while(!input(ECHO_PIN)) {
        if(++to &gt; 3000) return 255;
    }
    // Đo xung Echo bằng Timer1
    setup_timer_1(T1_INTERNAL | T1_DIV_BY_1);
    set_timer1(0);
    to = 0;
    while(input(ECHO_PIN)) {
        if(++to &gt; 45000) break; // timeout ~9ms
    }
    // Tắt Timer1 (CCS: set về disabled)
    count = get_timer1();
    setup_timer_1(T1_DISABLED);
    // 1 tick=200ns @ 5MHz, 1cm=290 ticks
    return (count &gt; 45000) ? 255 : (int8)(count / 290);
}</t>
  </si>
  <si>
    <t xml:space="preserve">  ▸ Tại sao chỉ đo siêu âm trong STATE_STATION
     Mỗi lần đo HC-SR04 mất ~30ms (chờ xung Echo). Nếu gọi trong follow_line_update() mỗi vòng lặp sẽ làm xe phản xạ chậm. Chỉ đo khi đã vào STATE_STATION — hợp lý và tiết kiệm CPU.</t>
  </si>
  <si>
    <t>⑤ follow_line_update() – CCS C</t>
  </si>
  <si>
    <t>// CCS C – không dùng LATCbits, dùng output_bit()
void follow_line_entry(void) {
    output_high(STBY_PIN);          // enable TB8833
    motor_set(160, 160, DIR_FWD);
    output_high(LED1_PIN);          // LED1 ON
    junction_flag = 0; station_flag = 0;
    chatter_filter_reset();
}
void follow_line_update(void) {
    int8 pat = read_sensor_pattern();
    if(is_junction(pat)) {
        junction_flag = 1;
        transition(STATE_NAVIGATION); return;
    }
    if(station_flag){ transition(STATE_STATION); return; }
    if(back_flag)   { transition(STATE_BACK);    return; }
    if(error_flag)  { transition(STATE_ERROR);   return; }
    if(pat == 0x00) pat = last_valid_pat;
    else            last_valid_pat = pat;
    MotorCmd_t cmd = lookup_motor(pat);
    motor_set(cmd.L, cmd.R, cmd.dir);
}
void follow_line_exit(void) {
    motor_set(0, 0, DIR_STOP);
    junction_flag = 0; station_flag = 0;
}</t>
  </si>
  <si>
    <t>⑥ nav_update() &amp; transition() – CCS C</t>
  </si>
  <si>
    <t>// CCS C route table + nav_update
const TurnDir_t route_table[10] = {
    TURN_R, TURN_L, GO_STR, TURN_R, TURN_L,
    GO_STR, TURN_R, TURN_L, GO_STR, TURN_L
};
void nav_entry(void) {
    motor_set(0, 0, DIR_STOP);
    output_high(LED1_PIN); // LED BLUE → dùng LED1 nháy
    turn_tmr = ms_tick;
}
void nav_update(void) {
    TurnDir_t d = route_table[cur_node];
    if(d==TURN_L)      motor_set(0,   200, DIR_FWD);
    else if(d==TURN_R) motor_set(200, 0,   DIR_FWD);
    else               motor_set(160, 160, DIR_FWD);
    int8 SM = !input(SM_PIN);
    if(SM &amp;&amp; (ms_tick - turn_tmr) &gt; 200) {
        cur_node++; transition(STATE_FOLLOW_LINE); return;
    }
    if((ms_tick - turn_tmr) &gt; 1500)
        transition(STATE_FOLLOW_LINE);
}
// ── transition() ──────────────────────────────────────
void transition(SystemState_t next) {
    // exit state cũ
    switch(current_state) {
        case STATE_FOLLOW_LINE:  follow_line_exit();  break;
        case STATE_STATION_STOP: station_stop_exit(); break;
        default: break;
    }
    current_state = next;
    // entry state mới
    switch(current_state) {
        case STATE_IDLE:         idle_entry();         break;
        case STATE_FOLLOW_LINE:  follow_line_entry();  break;
        case STATE_STATION:      station_entry();      break;
        case STATE_STATION_STOP: station_stop_entry(); break;
        case STATE_STATION_BACK: station_back_entry(); break;
        case STATE_NAVIGATION:   nav_entry();          break;
        case STATE_BACK:         back_entry();         break;
        case STATE_ERROR:        error_entry();        break;
        case STATE_END:          end_entry();          break;
    }
}</t>
  </si>
  <si>
    <t>⑦ ISR – CCS C #INT_TIMER0 / #INT_RB</t>
  </si>
  <si>
    <t>⑩ error_entry/update/exit()</t>
  </si>
  <si>
    <t>// ⑩ error_entry/update/exit() – CCS C
void error_entry(void) {
    motor_set(0, 0, DIR_STOP);
    output_low(STBY_PIN);   // STBY=LOW, tắt TB8833
    error_tmr  = ms_tick;
    error_retry = 0;
}
void error_update(void) {
    switch(error_code) {
        case ERR_NOISE:
            if((ms_tick - error_tmr) &gt;= NOISE_WAIT_MS) {
                miss_count = 0;
                transition(STATE_FOLLOW_LINE);
            }
            break;
        case ERR_LOSTLINE:
            if(error_retry &lt; MAX_RETRY) {
                error_retry++;
                output_high(STBY_PIN);
                motor_set(80, 80, DIR_BWD);
                delay_ms(300);
                motor_set(0, 0, DIR_STOP);
                miss_count = 0;
                transition(STATE_FOLLOW_LINE);
            } else { transition(STATE_END); }
            break;
        default: break;
    }
    if((ms_tick - error_tmr) &gt;= ERROR_TIMEOUT_MS)
        transition(STATE_END);
    if(!input(BTN_PIN)) transition(STATE_IDLE);
}
void error_exit(void) {
    error_code  = ERR_NONE; error_flag  = 0;
    error_retry = 0; miss_count = 0;
    output_high(STBY_PIN);
}</t>
  </si>
  <si>
    <t>⑪ main() – CCS C Init &amp; while(1)</t>
  </si>
  <si>
    <t>void main(void) {
    // ① GPIO – CCS C: setup_adc_ports thay ADCON1
    setup_adc_ports(NO_ANALOGS); // ★ All digital
    setup_adc(ADC_OFF);
    // TRIS qua port_x_pullups hoặc set_tris_x()
    set_tris_a(0x07);   // RA0-2 INPUT, RA3-7 OUTPUT
    set_tris_b(0x88);   // RB3,RB7 INPUT; RB0,2,4,5,6 OUTPUT
    set_tris_c(0x00);   // PORTC toàn OUTPUT
    output_b(0x00); output_a(0x00); output_c(0x00);
    output_high(STBY_PIN);  // TB8833 standby ON
    // ② Timer0 → ms_tick ISR (1ms, prescale 1:4)
    setup_timer_0(RTCC_INTERNAL | RTCC_DIV_4 | RTCC_16_BIT);
    set_timer0(0xFB1E);
    enable_interrupts(INT_TIMER0);
    // ③ Timer1 → HC-SR04 polling (bật thủ công khi đo)
    setup_timer_1(T1_DISABLED);
    // ④ PWM Motor 20kHz – CCS C API
    // f_PWM = clock / (4 * (PR2+1)) = 20MHz/(4*250) = 20kHz
    setup_ccp1(CCP_PWM);   // CCP1 → RC2 Motor trái
    setup_ccp2(CCP_PWM);   // CCP2 → RC3 Motor phải
    setup_timer_2(T2_DIV_BY_1, 249, 1); // PR2=249, postscale=1
    set_pwm1_duty(0); set_pwm2_duty(0);
    // ⑤ LED init
    output_low(LED1_PIN); output_low(LED2_PIN);
    // ⑥ Bật interrupts
    enable_interrupts(INT_TIMER0);
    enable_interrupts(INT_RB);
    enable_interrupts(GLOBAL);
    // IOCB = RB3 + RB7 (CCS C tự quản lý với INT_RB)
    // ⑦ Start State Machine
    current_state = STATE_IDLE;
    idle_entry();
    // ⑧ Main loop
    while(1) {
        switch(current_state) {
            case STATE_IDLE:          idle_update();          break;
            case STATE_CALIBRATION:   calib_update();         break;
            case STATE_FOLLOW_LINE:   follow_line_update();   break;
            case STATE_STATION:       station_update();       break;
            case STATE_STATION_STOP:  station_stop_update();  break;
            case STATE_STATION_BACK:  station_back_update();  break;
            case STATE_NAVIGATION:    nav_update();           break;
            case STATE_BACK:          back_update();          break;
            case STATE_ERROR:         error_update();         break;
            case STATE_END:           end_update();           break;
            default: transition(STATE_IDLE); break;
        }
    }
    // CCS C: no return in main()
}</t>
  </si>
  <si>
    <t>⑫ #define – Hằng số CCS C</t>
  </si>
  <si>
    <t>// ════ ĐIỀU CHỈNH TẠI ĐÂY – CCS C ════
// Motor PWM (0–255)
#define BASE_PWM     160
#define HIGH_PWM     200
#define SLOW_PWM      80
#define BACK_PWM     120
// Timing (ms)
#define GRAB_MS     2000
#define BACK_MS      600
#define TURN_TO     1500
#define MIN_TURN_MS  200
#define BACK_RESET_MS 800
// HC-SR04
#define STOP_CM        8
// Error handling
#define MISS_THRESH   10
#define NOISE_WAIT_MS 200
#define MAX_RETRY      3
#define ERROR_TIMEOUT_MS 5000
#define CHATTER_N      3
#define MAX_NODES     10
// LED blink flag (volatile int1)
volatile int1 led2_blink_en = 0;</t>
  </si>
  <si>
    <t>TRANSITION MAP · BẢNG FLAG TOÀN CỤC · PIN MAP TỔNG HỢP – PIC18F2685</t>
  </si>
  <si>
    <t xml:space="preserve">BẢNG CHUYỂN STATE </t>
  </si>
  <si>
    <t>Từ State</t>
  </si>
  <si>
    <t>→ Đến State</t>
  </si>
  <si>
    <t>Điều kiện (C expression)</t>
  </si>
  <si>
    <t>Hàm gọi khi chuyển</t>
  </si>
  <si>
    <t>Flag set / clear</t>
  </si>
  <si>
    <t>LED thay đổi</t>
  </si>
  <si>
    <t>Motor lúc chuyển</t>
  </si>
  <si>
    <t xml:space="preserve">  GIẢI THÍCH TRANSITION &amp; FLAG DESIGN</t>
  </si>
  <si>
    <t>!input(BTN_PIN) giữ 2s
(long press → calib mode)
OR calib_flag==1</t>
  </si>
  <si>
    <t>idle_exit() → calib_entry()</t>
  </si>
  <si>
    <t>calib_done=0, calib_step=0</t>
  </si>
  <si>
    <t>OFF → YEL blink</t>
  </si>
  <si>
    <t>STOP → STOP</t>
  </si>
  <si>
    <t xml:space="preserve">  ▸ Tại sao IOCB thay EXTI
     PIC18F2685 không có EXTI riêng như STM32. PORTB Change Interrupt (IOCB) cho phép ngắt khi bất kỳ chân RB được kích hoạt thay đổi. Đủ dùng cho sensor station (RB3) và nút bấm (RB7).</t>
  </si>
  <si>
    <t>calib_step==2 (đọc đen xong)
calib_done==1</t>
  </si>
  <si>
    <t>calib_exit() → idle_entry()</t>
  </si>
  <si>
    <t>calib_done=1</t>
  </si>
  <si>
    <t>YEL blink → OFF</t>
  </si>
  <si>
    <t xml:space="preserve">  ▸ Tại sao dùng snapshot thời gian
     grab_tmr=TMR1_get_ms() lưu thời điểm vào state. TMR1_elapsed(grab_tmr) = ms_tick - grab_tmr cho biết đã trôi qua bao nhiêu ms. Không cần flag riêng, không có race condition.</t>
  </si>
  <si>
    <t>calib_done==1
AND run_flag==1 (tùy chọn)</t>
  </si>
  <si>
    <t>calib_exit() → follow_line_entry()</t>
  </si>
  <si>
    <t>calib_done=1, run_flag=1</t>
  </si>
  <si>
    <t>YEL → GREEN</t>
  </si>
  <si>
    <t>STOP → FWD 160</t>
  </si>
  <si>
    <t xml:space="preserve">  ▸ Tại sao ADCON1=0x0F quan trọng
     PIC18 boot với RA0–RA5 và nhiều chân PORTB ở chế độ Analog. Nếu quên set ADCON1=0x0F (all digital), input(SL_PIN) luôn đọc 0 dù sensor đang output HIGH — bug cực kỳ khó phát hiện.</t>
  </si>
  <si>
    <t>back_flag==1
(set sau khi thả ball ở STATE_END)</t>
  </si>
  <si>
    <t>follow_line_exit() → back_entry()</t>
  </si>
  <si>
    <t>back_flag=1</t>
  </si>
  <si>
    <t>GREEN → RED blink</t>
  </si>
  <si>
    <t>FWD → BWD 120</t>
  </si>
  <si>
    <t xml:space="preserve">  ▸ Tại sao pin map ở sheet này
     Tập trung toàn bộ kết nối vào 1 bảng giúp phát hiện xung đột pin (2 driver dùng cùng pin). Dễ thay đổi khi làm PCB mới — chỉ sửa #define PIN và TRIS tương ứng.</t>
  </si>
  <si>
    <t>TMR1_elapsed(fsm_back_tmr)
  &gt;= BACK_RESET_MS (800ms)
cur_node reset=0</t>
  </si>
  <si>
    <t>back_exit() → idle_entry()</t>
  </si>
  <si>
    <t>back_flag=0, cur_node=0, clear_all</t>
  </si>
  <si>
    <t>RED blink → OFF</t>
  </si>
  <si>
    <t>BWD → STOP</t>
  </si>
  <si>
    <t xml:space="preserve">  ▸ Tại sao ms_tick là volatile
     ms_tick được cập nhật trong ISR Timer1 và đọc trong main loop. Không có volatile, XC8 compiler có thể optimize đọc từ register thay vì RAM, dẫn đến giá trị sai (classic concurrency bug).</t>
  </si>
  <si>
    <t>!input(BTN_PIN)==0
(BTN active-LOW)
OR run_flag==1</t>
  </si>
  <si>
    <t>idle_exit() → follow_line_entry()</t>
  </si>
  <si>
    <t>run_flag=0, flags clear</t>
  </si>
  <si>
    <t>OFF → GREEN</t>
  </si>
  <si>
    <t xml:space="preserve">  ▸ Tại sao 19 cung chuyển thay vì ít hơn
     Mỗi cung = 1 điều kiện kiểm thử độc lập. Có thể viết unit test cho từng cung mà không cần chạy xe thật. Các cung ERROR được tách riêng giúp trace bug nhanh khi xe dừng bất thường.</t>
  </si>
  <si>
    <t>is_junction(pat)==1
(pat==0x05 OR 0x07)</t>
  </si>
  <si>
    <t>follow_line_exit() → nav_entry()</t>
  </si>
  <si>
    <t>junction_flag=1</t>
  </si>
  <si>
    <t>GREEN → BLUE</t>
  </si>
  <si>
    <t>FWD → STOP</t>
  </si>
  <si>
    <t xml:space="preserve">  ▸ Tại sao STATE_ERROR không tự retry vô tận
     MAX_RETRY=3 giới hạn số lần tự phục hồi. Nếu cả 3 lần thất bại → STATE_END dừng xe an toàn thay vì lặp vô tận. Reset tay và điều tra nguyên nhân.</t>
  </si>
  <si>
    <t>station_flag==1
(set bởi IOCB ISR RB3)</t>
  </si>
  <si>
    <t>follow_line_exit() → station_entry()</t>
  </si>
  <si>
    <t>station_flag giữ nguyên</t>
  </si>
  <si>
    <t>GREEN → YEL blink</t>
  </si>
  <si>
    <t>FWD → SLOW 80</t>
  </si>
  <si>
    <t xml:space="preserve">  ▸ Tại sao tách ERR_NOISE và ERR_LOSTLINE
     ERR_NOISE (nhiễu ngắn hạn) chỉ cần chờ 200ms rồi tiếp tục — không cần lùi. ERR_LOSTLINE (mất line thật) cần lùi tìm lại. Tách 2 loại cho phép xử lý đúng cơ chế, tránh lùi thừa khi chỉ là nhiễu.</t>
  </si>
  <si>
    <t>error_flag==1
(miss_count&gt;=MISS_THRESH
OR sensor_fault detected)</t>
  </si>
  <si>
    <t>follow_line_exit() → error_entry()</t>
  </si>
  <si>
    <t>error_flag=1, error_code set</t>
  </si>
  <si>
    <t>TMR1_elapsed(approach_tmr)
  &gt; APPROACH_TIMEOUT
(station không đến được)</t>
  </si>
  <si>
    <t>station_exit() → error_entry()</t>
  </si>
  <si>
    <t>error_code=ERR_TIMEOUT</t>
  </si>
  <si>
    <t>YEL → RED blink</t>
  </si>
  <si>
    <t>SLOW → STOP</t>
  </si>
  <si>
    <t>error_code==ERR_NOISE
AND elapsed&gt;=NOISE_WAIT_MS
OR retry&lt;MAX_RETRY</t>
  </si>
  <si>
    <t>error_exit() → follow_line_entry()</t>
  </si>
  <si>
    <t>error_flag=0, error_code=NONE</t>
  </si>
  <si>
    <t>RED blink → GREEN</t>
  </si>
  <si>
    <t>error_retry&gt;=MAX_RETRY
OR elapsed&gt;=ERROR_TIMEOUT_MS</t>
  </si>
  <si>
    <t>error_exit() → end_entry()</t>
  </si>
  <si>
    <t>error_flag=0</t>
  </si>
  <si>
    <t>RED blink → WHITE</t>
  </si>
  <si>
    <t>!input(BTN_PIN)==0
(BTN reset manual)</t>
  </si>
  <si>
    <t>error_exit() → idle_entry()</t>
  </si>
  <si>
    <t>clear_all_flags()</t>
  </si>
  <si>
    <t>end_flag==1
(station cuối route)</t>
  </si>
  <si>
    <t>follow_line_exit() → end_entry()</t>
  </si>
  <si>
    <t>end_flag=1</t>
  </si>
  <si>
    <t>GREEN → WHITE</t>
  </si>
  <si>
    <t>reset_flag==1
OR BTN giữ 3s</t>
  </si>
  <si>
    <t>follow_line_exit() → idle_entry()</t>
  </si>
  <si>
    <t>GREEN → OFF</t>
  </si>
  <si>
    <t>hcsr04_read_cm()&lt;=STOP_CM
(8 cm)</t>
  </si>
  <si>
    <t>station_exit() → station_stop_entry()</t>
  </si>
  <si>
    <t>grab_tmr=ms_tick</t>
  </si>
  <si>
    <t>YEL blink → YEL</t>
  </si>
  <si>
    <t>!input(PIN_B3)==1
(ball_ok==1, active-LOW)</t>
  </si>
  <si>
    <t>station_stop_exit() → station_back_entry()</t>
  </si>
  <si>
    <t>ball_ok=1, GRAB_PIN=0</t>
  </si>
  <si>
    <t>YEL → GRN blink</t>
  </si>
  <si>
    <t>STOP → BWD 120</t>
  </si>
  <si>
    <t>TMR1_elapsed(grab_tmr)&gt;GRAB_MS
(2000ms timeout)</t>
  </si>
  <si>
    <t>station_stop_exit() → follow_line_entry()</t>
  </si>
  <si>
    <t>ball_ok=0, GRAB_PIN=0</t>
  </si>
  <si>
    <t>TMR1_elapsed(back_tmr)&gt;=BACK_MS
(600ms)</t>
  </si>
  <si>
    <t>station_back_exit() → nav_entry()</t>
  </si>
  <si>
    <t>back_done=1, back_tmr=0</t>
  </si>
  <si>
    <t>GRN blink → BLUE</t>
  </si>
  <si>
    <t>!RA1==1 (SM thấy line)
AND elapsed&gt;MIN_TURN_MS
OR elapsed&gt;TURN_TO</t>
  </si>
  <si>
    <t>nav_exit() → follow_line_entry()</t>
  </si>
  <si>
    <t>junction_flag=0, cur_node++</t>
  </si>
  <si>
    <t>BLUE → GREEN</t>
  </si>
  <si>
    <t>SHARP → FWD 160</t>
  </si>
  <si>
    <t>!input(BTN_PIN)==0
(BTN active-LOW)</t>
  </si>
  <si>
    <t>end_exit() → idle_entry()</t>
  </si>
  <si>
    <t>clear_all_flags(), cur_node=0</t>
  </si>
  <si>
    <t>WHITE → OFF</t>
  </si>
  <si>
    <t>BẢNG FLAG TOÀN CỤC – KHAI BÁO, AI SET, AI CLEAR</t>
  </si>
  <si>
    <t>Flag / Biến</t>
  </si>
  <si>
    <t>Kiểu</t>
  </si>
  <si>
    <t>Giá trị</t>
  </si>
  <si>
    <t>Ai SET</t>
  </si>
  <si>
    <t>Ai CLEAR</t>
  </si>
  <si>
    <t>Dùng ở State</t>
  </si>
  <si>
    <t>Mô tả</t>
  </si>
  <si>
    <t>run_flag</t>
  </si>
  <si>
    <t>int8</t>
  </si>
  <si>
    <t>0/1</t>
  </si>
  <si>
    <t>IOCB ISR RB7
idle_update()</t>
  </si>
  <si>
    <t>idle_exit()</t>
  </si>
  <si>
    <t>Cho phép xe bắt đầu chạy. Set khi bấm nút.</t>
  </si>
  <si>
    <t>junction_flag</t>
  </si>
  <si>
    <t>follow_line_update()
(is_junction==1)</t>
  </si>
  <si>
    <t>nav_exit()
follow_line_exit()</t>
  </si>
  <si>
    <t>FOLLOW_LINE
NAVIGATION</t>
  </si>
  <si>
    <t>Phát hiện ngã ba/tư. Set khi 2+ sensor biên thấy line.</t>
  </si>
  <si>
    <t>station_flag</t>
  </si>
  <si>
    <t>IOCB ISR RB3
follow_line_update()</t>
  </si>
  <si>
    <t>follow_line_exit()
station_exit()</t>
  </si>
  <si>
    <t>FOLLOW_LINE
STATION</t>
  </si>
  <si>
    <t>Phát hiện vùng station. Set qua interrupt.</t>
  </si>
  <si>
    <t>ball_ok</t>
  </si>
  <si>
    <t>station_stop_update()
(!input(PIN_B3))</t>
  </si>
  <si>
    <t>station_stop_exit()</t>
  </si>
  <si>
    <t>STATION_STOP</t>
  </si>
  <si>
    <t>Cảm biến gắp ball active-LOW. 1=đã gắp thành công.</t>
  </si>
  <si>
    <t>reset_flag</t>
  </si>
  <si>
    <t>IOCB ISR RB7 long</t>
  </si>
  <si>
    <t>end_exit(), idle_exit()</t>
  </si>
  <si>
    <t>Mọi state</t>
  </si>
  <si>
    <t>Reset toàn bộ hệ thống về IDLE.</t>
  </si>
  <si>
    <t>last_valid_pat</t>
  </si>
  <si>
    <t>0–7</t>
  </si>
  <si>
    <t>follow_line_update()</t>
  </si>
  <si>
    <t>follow_line_entry() =0x02</t>
  </si>
  <si>
    <t>Pattern hợp lệ cuối. Dùng khi pat==0 (mất line) để tiếp tục hướng cũ.</t>
  </si>
  <si>
    <t>cur_node</t>
  </si>
  <si>
    <t>0–9</t>
  </si>
  <si>
    <t>nav_update() ++</t>
  </si>
  <si>
    <t>end_exit() =0</t>
  </si>
  <si>
    <t>Vị trí hiện tại trong route_table[]. Tăng sau mỗi junction.</t>
  </si>
  <si>
    <t>ms_tick</t>
  </si>
  <si>
    <t>int32</t>
  </si>
  <si>
    <t>ms</t>
  </si>
  <si>
    <t>Timer1 ISR (mỗi 1ms)</t>
  </si>
  <si>
    <t>Không clear</t>
  </si>
  <si>
    <t>Bộ đếm ms toàn cục. Dùng TMR1_elapsed() để tính timeout.</t>
  </si>
  <si>
    <t>grab_tmr</t>
  </si>
  <si>
    <t>station_stop_entry()</t>
  </si>
  <si>
    <t>Snapshot ms_tick khi vào state. Tính elapsed để timeout 2000ms.</t>
  </si>
  <si>
    <t>back_tmr</t>
  </si>
  <si>
    <t>station_back_entry()</t>
  </si>
  <si>
    <t>station_back_exit()</t>
  </si>
  <si>
    <t>STATION_BACK</t>
  </si>
  <si>
    <t>Snapshot ms_tick. Tính elapsed để xác định đã lùi đủ 600ms.</t>
  </si>
  <si>
    <t>turn_tmr</t>
  </si>
  <si>
    <t>nav_entry()</t>
  </si>
  <si>
    <t>nav_exit()</t>
  </si>
  <si>
    <t>NAVIGATION</t>
  </si>
  <si>
    <t>Snapshot ms_tick. Bảo vệ timeout 1500ms nếu SM không thấy line.</t>
  </si>
  <si>
    <t>PIN MAP TỔNG HỢP – PIC18F2685 28-PIN DIP</t>
  </si>
  <si>
    <t>Pin PIC18</t>
  </si>
  <si>
    <t>Tên GPIO</t>
  </si>
  <si>
    <t>Kết nối với</t>
  </si>
  <si>
    <t>SL – IR sensor trái</t>
  </si>
  <si>
    <t>Active-LOW. !input(SL_PIN) trong code.</t>
  </si>
  <si>
    <t>SM – IR sensor giữa</t>
  </si>
  <si>
    <t>Active-LOW. Dùng xác nhận sau khi rẽ.</t>
  </si>
  <si>
    <t>SR – IR sensor phải</t>
  </si>
  <si>
    <t>Active-LOW. !input(SR_PIN).</t>
  </si>
  <si>
    <t>1=tiến, 0=lùi motor trái.</t>
  </si>
  <si>
    <t>1=tiến, 0=lùi motor phải.</t>
  </si>
  <si>
    <t>BALL_SENSOR</t>
  </si>
  <si>
    <t>Active-LOW. IOCB interrupt khi phát hiện ball.</t>
  </si>
  <si>
    <t>HC-SR04 Trig</t>
  </si>
  <si>
    <t>Pulse 10µs để kích siêu âm.</t>
  </si>
  <si>
    <t>Đo độ rộng xung bằng Timer0.</t>
  </si>
  <si>
    <t>BTN_START / RESET</t>
  </si>
  <si>
    <t>Active-LOW. IOCB interrupt.</t>
  </si>
  <si>
    <t>PWM 20kHz từ CCP2.</t>
  </si>
  <si>
    <t>PWM 20kHz từ CCP1.</t>
  </si>
  <si>
    <t>LED_STATUS (xanh lá)</t>
  </si>
  <si>
    <t>Active-HIGH. Blink/solid.</t>
  </si>
  <si>
    <t>GRAB_PIN (servo gắp)</t>
  </si>
  <si>
    <t>HIGH=kích servo gắp ball.</t>
  </si>
  <si>
    <t>RELEASE_PIN (nhả ball)</t>
  </si>
  <si>
    <t>HIGH 500ms để nhả.</t>
  </si>
  <si>
    <t>⑦  CHATTER FILTER – LỌC NHIỄU SENSOR IR  ·  PIC18F2685  ·  3 SAMPLES CONSECUTIVE = ON</t>
  </si>
  <si>
    <t>Nguyên lý: Đọc sensor 3 lần liên tiếp. Chỉ cập nhật pattern khi 3 mẫu GIỐNG NHAU hoàn toàn → loại bỏ spike/glitch ngắn hạn do rung cơ, nhiễu điện từ, phản xạ nền.</t>
  </si>
  <si>
    <t>A  ·  SO SÁNH KHÔNG LỌC vs CÓ LỌC NHIỄU</t>
  </si>
  <si>
    <t>Tiêu chí</t>
  </si>
  <si>
    <t>Không lọc (gốc)</t>
  </si>
  <si>
    <t>Có Chatter Filter (N=3)</t>
  </si>
  <si>
    <t>Độ trễ nhận ON</t>
  </si>
  <si>
    <t>0 ms  (ngay lập tức)</t>
  </si>
  <si>
    <t>≈ 3 × chu kỳ loop
(~3 ms @ 1 kHz)</t>
  </si>
  <si>
    <t>Chấp nhận được với xe tốc độ thấp</t>
  </si>
  <si>
    <t>Lọc spike / glitch</t>
  </si>
  <si>
    <t>✗  Không lọc</t>
  </si>
  <si>
    <t>✓  Lọc spike &lt; N-1 mẫu</t>
  </si>
  <si>
    <t>N=3: lọc glitch ≤ 2 chu kỳ</t>
  </si>
  <si>
    <t>RAM thêm</t>
  </si>
  <si>
    <t>0 byte</t>
  </si>
  <si>
    <t>1 byte (sample_buf) +
1 byte (same_count)</t>
  </si>
  <si>
    <t>Cực kỳ tiết kiệm RAM</t>
  </si>
  <si>
    <t>Phát hiện junction</t>
  </si>
  <si>
    <t>Có thể bị kích sai</t>
  </si>
  <si>
    <t>Chắc chắn hơn</t>
  </si>
  <si>
    <t>Junction đòi hỏi signal ổn định</t>
  </si>
  <si>
    <t>Code phức tạp</t>
  </si>
  <si>
    <t>Thấp</t>
  </si>
  <si>
    <t>Thấp  (thêm ~10 dòng)</t>
  </si>
  <si>
    <t>Dễ tích hợp vào read_sensor_pattern()</t>
  </si>
  <si>
    <t>B  ·  TIMING DIAGRAM  –  Ví dụ tín hiệu SM (Sensor Giữa)</t>
  </si>
  <si>
    <t>Chu kỳ</t>
  </si>
  <si>
    <t>T1</t>
  </si>
  <si>
    <t>T2</t>
  </si>
  <si>
    <t>T3</t>
  </si>
  <si>
    <t>T4</t>
  </si>
  <si>
    <t>T5</t>
  </si>
  <si>
    <t>T6</t>
  </si>
  <si>
    <t>T7</t>
  </si>
  <si>
    <t>T8</t>
  </si>
  <si>
    <t>T9</t>
  </si>
  <si>
    <t>Raw RA1 (đảo)</t>
  </si>
  <si>
    <t xml:space="preserve"> 0 </t>
  </si>
  <si>
    <t xml:space="preserve"> 1 </t>
  </si>
  <si>
    <t>Diễn giải raw</t>
  </si>
  <si>
    <t>OFF</t>
  </si>
  <si>
    <t>ON*</t>
  </si>
  <si>
    <t>ON</t>
  </si>
  <si>
    <t>OFF*</t>
  </si>
  <si>
    <t>same_count</t>
  </si>
  <si>
    <t xml:space="preserve"> 2 </t>
  </si>
  <si>
    <t xml:space="preserve"> 3 </t>
  </si>
  <si>
    <t>confirmed_SM</t>
  </si>
  <si>
    <t>spike!</t>
  </si>
  <si>
    <t>LOCK ON</t>
  </si>
  <si>
    <t>★  T3: spike lên 1 chu kỳ → same_count reset về 0 → confirmed_SM KHÔNG thay đổi → xe không bị giật lái
★  T8: spike ngắn khi đang ON → same_count reset → nhưng confirmed_SM giữ nguyên 1 (chỉ reset khi N mẫu liên tiếp là OFF)</t>
  </si>
  <si>
    <t>C  ·  THUẬT TOÁN  –  Consecutive N-Sample Chatter Filter</t>
  </si>
  <si>
    <t xml:space="preserve">  1.  Biến cần thêm</t>
  </si>
  <si>
    <t>static int8 prev_pat    = 0xFF;  // pattern mẫu trước
static int8 same_count  = 0;     // đếm mẫu liên tiếp giống nhau
static int8 confirmed   = 0x02;  // pattern đã xác nhận (SM giữa = thẳng)
#define CHATTER_N  3               // số mẫu liên tiếp cần thiết</t>
  </si>
  <si>
    <t xml:space="preserve">  2.  Bước 1 – Đọc raw</t>
  </si>
  <si>
    <t>int8 raw_pat = read_sensor_raw();
// active-LOW: SL=!RA0, SM=!RA1, SR=!RA2
// raw = (SL&lt;&lt;2)|(SM&lt;&lt;1)|SR</t>
  </si>
  <si>
    <t xml:space="preserve">  3.  Bước 2 – So sánh</t>
  </si>
  <si>
    <t>if(raw_pat == prev_pat) {
    same_count++;           // giống mẫu trước → tăng đếm
} else {
    same_count = 1;         // khác → reset, bắt đầu đếm lại
    prev_pat   = raw_pat;
}</t>
  </si>
  <si>
    <t xml:space="preserve">  4.  Bước 3 – Xác nhận</t>
  </si>
  <si>
    <t>if(same_count &gt;= CHATTER_N) {
    confirmed  = raw_pat;   // đủ N mẫu → cập nhật confirmed
    same_count = CHATTER_N; // cap để tránh overflow
}</t>
  </si>
  <si>
    <t xml:space="preserve">  5.  Bước 4 – Trả về</t>
  </si>
  <si>
    <t>return confirmed;           // luôn trả về pattern ĐÃ LỌC
// Caller dùng confirmed thay vì raw</t>
  </si>
  <si>
    <t xml:space="preserve">D  ·  CODE C ĐẦY ĐỦ  –  Tích hợp vào read_sensor_pattern() </t>
  </si>
  <si>
    <t>// ════════════════════════════════════════════════════════════════════
//  CHATTER FILTER  –  Đọc 3 lần liên tiếp giống nhau = tín hiệu HỢP LỆ
//  File: sensor.c  |  Platform: PIC18F2685  |  Compiler: XC8
// ════════════════════════════════════════════════════════════════════
#define CHATTER_N   3       // Số mẫu liên tiếp cần để xác nhận pattern
                            // Tăng N → lọc tốt hơn nhưng trễ hơn
                            // Giảm N → phản ứng nhanh hơn nhưng dễ bị nhiễu
// ── Biến tĩnh – giữ trạng thái giữa các lần gọi hàm ────────────────
static int8 chatter_prev   = 0xFF;  // pattern raw lần trước (0xFF = chưa khởi tạo)
static int8 chatter_count  = 0;     // đếm số mẫu liên tiếp giống nhau
static int8 chatter_conf   = 0x02;  // pattern đã xác nhận (khởi tạo = SM thẳng)
// ── Đọc raw (không lọc) ─────────────────────────────────────────────
static int8 read_sensor_raw(void) {
    int8 SL = !input(SL_PIN);   // active-LOW: đảo bit
    int8 SM = !input(SM_PIN);
    int8 SR = !input(SR_PIN);
    return (SL &lt;&lt; 2) | (SM &lt;&lt; 1) | SR;   // pattern 3-bit: 0b000..0b111
}
// ── read_sensor_pattern() – có chatter filter ────────────────────────
// Gọi hàm này thay thế hoàn toàn read_sensor_raw() trong follow_line_update()
// Trả về pattern ĐÃ LỌC – chỉ thay đổi khi CHATTER_N mẫu liên tiếp giống nhau
int8 read_sensor_pattern(void) {
    int8 raw = read_sensor_raw();
    if(raw == chatter_prev) {
        // Mẫu giống lần trước → tăng đếm
        if(chatter_count &lt; CHATTER_N) chatter_count++;
    } else {
        // Mẫu khác → reset, bắt đầu đếm chuỗi mới
        chatter_prev  = raw;
        chatter_count = 1;
    }
    // Chỉ cập nhật confirmed khi đủ N mẫu liên tiếp
    if(chatter_count &gt;= CHATTER_N) {
        chatter_conf = raw;
    }
    return chatter_conf;   // luôn trả về giá trị ĐÃ XÁC NHẬN
}
// ── Reset filter (gọi khi vào follow_line_entry) ─────────────────────
void chatter_filter_reset(void) {
    chatter_prev  = 0xFF;
    chatter_count = 0;
    chatter_conf  = 0x02;  // mặc định = SM thấy line = thẳng
}
// ════════════════════════════════════════════════════════════════════
//  TÍCH HỢP VÀO follow_line_entry() VÀ follow_line_update()
// ════════════════════════════════════════════════════════════════════
void follow_line_entry(void) {
    LATBbits.LATB6 = 1;               // STBY=1 enable TB8833
    motor_set(160, 160, DIR_FWD);
    LATCbits.LATC0 = 1;               // LED_STATUS=GREEN
    junction_flag  = 0;
    station_flag   = 0;
    chatter_filter_reset();            // ★ Reset filter khi vào state
}
void follow_line_update(void) {
    // ★ Dùng read_sensor_pattern() (có filter) thay vì read_sensor_raw()
    int8 pat = read_sensor_pattern();
    if(is_junction(pat)) {
        junction_flag = 1;
        transition(STATE_NAVIGATION);
        return;
    }
    if(station_flag)  { transition(STATE_STATION);  return; }
    if(back_flag)     { transition(STATE_BACK);      return; }
    if(error_flag)    { transition(STATE_ERROR);     return; }
    // Mất line (pat==0x00 sau filter) → giữ hướng cuối
    if(pat == 0x00)
        pat = last_valid_pat;
    else
        last_valid_pat = pat;
    MotorCmd_t cmd = lookup_motor(pat);
    motor_set(cmd.L, cmd.R, cmd.dir);
}</t>
  </si>
  <si>
    <t>E  ·  THAM SỐ ĐIỀU CHỈNH  –  Chọn CHATTER_N theo môi trường</t>
  </si>
  <si>
    <t>CHATTER_N</t>
  </si>
  <si>
    <t>Thời gian trễ
(@ loop ~1ms)</t>
  </si>
  <si>
    <t>Môi trường phù hợp</t>
  </si>
  <si>
    <t>Ưu điểm</t>
  </si>
  <si>
    <t>Nhược điểm</t>
  </si>
  <si>
    <t>2</t>
  </si>
  <si>
    <t>≈ 2 ms</t>
  </si>
  <si>
    <t>Track sạch, ánh sáng ổn định</t>
  </si>
  <si>
    <t>Phản ứng nhanh</t>
  </si>
  <si>
    <t>Còn có thể bị spike ngắn</t>
  </si>
  <si>
    <t>3  ★</t>
  </si>
  <si>
    <t>≈ 3 ms</t>
  </si>
  <si>
    <t>Track thông thường, trong nhà</t>
  </si>
  <si>
    <t>Cân bằng tốt nhất
Đề xuất mặc định</t>
  </si>
  <si>
    <t>Trễ nhỏ, không đáng kể</t>
  </si>
  <si>
    <t>4</t>
  </si>
  <si>
    <t>≈ 4 ms</t>
  </si>
  <si>
    <t>Môi trường nhiễu điện từ cao</t>
  </si>
  <si>
    <t>Rất ổn định</t>
  </si>
  <si>
    <t>Hơi trễ với xe nhanh</t>
  </si>
  <si>
    <t>5</t>
  </si>
  <si>
    <t>≈ 5 ms</t>
  </si>
  <si>
    <t>Ngoài trời, ánh sáng biến thiên</t>
  </si>
  <si>
    <t>Lọc cực mạnh</t>
  </si>
  <si>
    <t>Không phù hợp xe nhanh</t>
  </si>
  <si>
    <t>F  ·  GIẢI THÍCH KỸ THUẬT &amp; LÝ DO THIẾT KẾ</t>
  </si>
  <si>
    <t>▸ Tại sao dùng static variable thay vì global?</t>
  </si>
  <si>
    <t>static trong hàm = biến tồn tại giữa các lần gọi nhưng không gây ô nhiễm namespace global.
PIC18F2685 có RAM hạn chế (3936B) — static giúp compiler tối ưu bố trí bộ nhớ tốt hơn global.</t>
  </si>
  <si>
    <t>▸ Tại sao cap chatter_count ở CHATTER_N?</t>
  </si>
  <si>
    <t>Nếu không cap, biến tăng vô tận → overflow int8 sau 255 mẫu → bug ngầm.
Cap tại CHATTER_N đảm bảo logic luôn đúng và tiết kiệm chu kỳ CPU.</t>
  </si>
  <si>
    <t>▸ Tại sao không dùng median filter hay average?</t>
  </si>
  <si>
    <t>Median/average cần mảng lưu N mẫu → tốn RAM. PIC18F2685 chỉ có 3936B RAM.
Consecutive filter chỉ cần 3 byte (prev, count, confirmed) — phù hợp MCU nhỏ.
Tốc độ xe dò line thấp: trễ 3ms không ảnh hưởng điều khiển thực tế.</t>
  </si>
  <si>
    <t>▸ Tại sao reset filter khi vào follow_line_entry()?</t>
  </si>
  <si>
    <t>Khi chuyển từ STATE_NAVIGATION hoặc STATE_STATION về FOLLOW_LINE, pattern sensor
có thể đang ở trạng thái bất định. Reset đảm bảo filter bắt đầu sạch,
tránh "confirmed" cũ từ state trước ảnh hưởng quyết định motor.</t>
  </si>
  <si>
    <t>▸ Điều gì xảy ra khi sensor bị nhiễu liên tục (&gt; N mẫu)?</t>
  </si>
  <si>
    <t>Nếu nhiễu kéo dài ≥ CHATTER_N chu kỳ → chatter_conf cập nhật sang pattern nhiễu.
Đây là hành vi đúng: nhiễu kéo dài thật sự = tín hiệu thật.
miss_count trong STATE_ERROR tiếp tục xử lý trường hợp này (mất line thật).</t>
  </si>
  <si>
    <t>⑧  MAIN &amp; TIMERS – Version hoàn chỉnh  ·  Timer0→LED  ·  Timer1→HC-SR04  ·  Timer2→Motor PWM</t>
  </si>
  <si>
    <t>2 LED: RC0=LED1 sáng khi Start/tắt khi END  |  RC1=LED2 nháy 200ms khi lấy bi  |  CCP1=RC2, CCP2=RC3 (Motor)  |  Chatter Filter N=3</t>
  </si>
  <si>
    <t>A  ·  PHÂN CÔNG TIMER – Tổng quan 3 Timer</t>
  </si>
  <si>
    <t>Timer</t>
  </si>
  <si>
    <t>Dùng cho</t>
  </si>
  <si>
    <t>Chế độ hoạt động</t>
  </si>
  <si>
    <t>Tần số / Độ phân giải</t>
  </si>
  <si>
    <t>ISR?</t>
  </si>
  <si>
    <t>LED1 + LED2
blink logic</t>
  </si>
  <si>
    <t>16-bit, prescale 1:256
Internal Fosc/4</t>
  </si>
  <si>
    <t>Ngắt mỗi 5ms
→ led_tick++ (int16)</t>
  </si>
  <si>
    <t>✓ LOW priority ISR</t>
  </si>
  <si>
    <t>led_tick%40==0 → toggle LED2 (200ms)
LED1 set/clear theo state flag</t>
  </si>
  <si>
    <t>HC-SR04
Đo xung Echo</t>
  </si>
  <si>
    <t>16-bit, prescale 1:1
Bật/tắt thủ công</t>
  </si>
  <si>
    <t>200ns/tick @ 5MHz
1cm = 290 ticks</t>
  </si>
  <si>
    <t>✗ Không ISR
(polling blocking)</t>
  </si>
  <si>
    <t>Chỉ bật TMR1ON khi Echo↑
Tắt khi Echo↓, đọc TMR1H:TMR1L</t>
  </si>
  <si>
    <t>Timer2
+ CCP1/CCP2</t>
  </si>
  <si>
    <t>Timer2 làm period
CCP1=RC2, CCP2=RC3</t>
  </si>
  <si>
    <t>f=20kHz
Duty 0-255 (8-bit)</t>
  </si>
  <si>
    <t>✗ Không ISR
(hardware tự phát)</t>
  </si>
  <si>
    <t>Ghi CCPR1L/CCPR2L trong motor_set()
Hardware CCP tự tạo PWM liên tục</t>
  </si>
  <si>
    <t>B  ·  LOGIC 2 LED – Hành vi theo State Machine</t>
  </si>
  <si>
    <t>State / Sự kiện</t>
  </si>
  <si>
    <t>LED1 (RC0) – Status</t>
  </si>
  <si>
    <t>LED2 (RC1) – Action</t>
  </si>
  <si>
    <t>Hàm thực hiện</t>
  </si>
  <si>
    <t>Cơ chế</t>
  </si>
  <si>
    <t>STATE_IDLE
idle_entry()</t>
  </si>
  <si>
    <t>TẮT  RC0=0</t>
  </si>
  <si>
    <t>TẮT  RC1=0</t>
  </si>
  <si>
    <t>LATC0=0
LATC1=0
led2_blink_en=0</t>
  </si>
  <si>
    <t>Direct set</t>
  </si>
  <si>
    <t>Khởi tạo, chờ nút bấm</t>
  </si>
  <si>
    <t>STATE_FOLLOW_LINE
follow_line_entry() ← Start</t>
  </si>
  <si>
    <t>★ SÁNG  RC0=1</t>
  </si>
  <si>
    <t>Tắt  RC1=0</t>
  </si>
  <si>
    <t>LATC0=1  ← LED1 ON
LATC1=0
led2_blink_en=0</t>
  </si>
  <si>
    <t>Direct set
Timer0 ISR không cần</t>
  </si>
  <si>
    <t>LED1 sáng liên tục suốt quá trình chạy</t>
  </si>
  <si>
    <t>STATE_STATION_STOP
(lấy bi thành công)</t>
  </si>
  <si>
    <t>Giữ nguyên (sáng)</t>
  </si>
  <si>
    <t>★ NHÁY 200ms  RC1 toggle</t>
  </si>
  <si>
    <t>led2_blink_en=1
(ISR toggle khi led_tick%40==0)</t>
  </si>
  <si>
    <t>Timer0 ISR
led_tick%40</t>
  </si>
  <si>
    <t>ISR tự toggle RC1 mỗi 200ms
không cần gọi thủ công</t>
  </si>
  <si>
    <t>STATE_STATION_STOP
station_stop_exit()</t>
  </si>
  <si>
    <t>★ TẮT  RC1=0</t>
  </si>
  <si>
    <t>led2_blink_en=0
LATC1=0</t>
  </si>
  <si>
    <t>Dừng nháy khi rời state</t>
  </si>
  <si>
    <t>STATE_END
end_entry() ← thả bi thành công</t>
  </si>
  <si>
    <t>★ TẮT  RC0=0</t>
  </si>
  <si>
    <t>LATC0=0  ← LED1 OFF
LATC1=0
led2_blink_en=0</t>
  </si>
  <si>
    <t>LED1 tắt báo hoàn thành nhiệm vụ</t>
  </si>
  <si>
    <t>STATE_ERROR
error_entry()</t>
  </si>
  <si>
    <t>Tắt cả 2 khi lỗi</t>
  </si>
  <si>
    <t>C  ·  TIMER0 – Cấu hình ISR 5ms cho LED blink</t>
  </si>
  <si>
    <t>Nguyên lý: Timer0 ngắt mỗi 5ms → ISR tăng led_tick. LED2 nháy 200ms = toggle khi (led_tick % 40 == 0), vì 40 × 5ms = 200ms. LED1 được set/clear trực tiếp từ state entry/exit không qua ISR.</t>
  </si>
  <si>
    <t>Tham số</t>
  </si>
  <si>
    <t>Giải thích tính toán</t>
  </si>
  <si>
    <t>T0CON</t>
  </si>
  <si>
    <t>0b11000111</t>
  </si>
  <si>
    <t>16-bit mode | Fosc/4 | prescale 1:256
5MHz/4/256=4882Hz → period=204.8µs/tick</t>
  </si>
  <si>
    <t>Reload giá trị</t>
  </si>
  <si>
    <t>65536 − 25 = 65511 = 0xFFE7</t>
  </si>
  <si>
    <t>5ms / 204.8µs ≈ 24.4 → dùng 25 ticks
→ TMR0H=0xFF, TMR0L=0xE7</t>
  </si>
  <si>
    <t>ISR tần số</t>
  </si>
  <si>
    <t>1000ms/5ms = 200 lần/giây</t>
  </si>
  <si>
    <t>led_tick tăng 200 lần/giây</t>
  </si>
  <si>
    <t>LED2 period</t>
  </si>
  <si>
    <t>led_tick % 40 == 0</t>
  </si>
  <si>
    <t>40 lần × 5ms = 200ms → toggle mỗi 200ms = nháy 5Hz</t>
  </si>
  <si>
    <t>INTCONbits.TMR0IE</t>
  </si>
  <si>
    <t>Bật ngắt Timer0 overflow</t>
  </si>
  <si>
    <t>Priority</t>
  </si>
  <si>
    <t>LOW priority ISR</t>
  </si>
  <si>
    <t>Timer0 low, Timer không dùng high (không có ms_tick nữa)</t>
  </si>
  <si>
    <t>// ── Timer0 Init (LED blink ISR 5ms) ────────────────────────────
void timer0_init(void) {
    T0CON  = 0b11000111;     // 16-bit, Fosc/4, prescale 1:256 → 204.8µs/tick
    TMR0H  = 0xFF; TMR0L = 0xE7;   // reload: 65536-25=65511, period≈5ms
    clear_interrupt(INT_TIMER0);
    enable_interrupts(INT_TIMER0);   // bật ngắt Timer0
}
// ── ISR Timer0 (LOW priority) ───────────────────────────────────
volatile int16 led_tick      = 0;   // tăng mỗi 5ms
volatile int8  led2_blink_en = 0;   // 1=LED2 đang nháy
#INT_TIMER0
void low_isr(void) {
    if(INTCONbits.TMR0IF) {
        clear_interrupt(INT_TIMER0);
        TMR0H = 0xFF; TMR0L = 0xE7;  // reload
        led_tick++;
        // LED2 nháy 200ms khi được cho phép
        if(led2_blink_en &amp;&amp; (led_tick % 40 == 0))
            LATCbits.LATC1 ^= 1;     // toggle LED2
    }
    // PORTB Change (RB3=ball, RB7=BTN) – ghép chung low ISR
    if(clear_interrupt(INT_RB)) {
        clear_interrupt(INT_RB) = 0;
        int8 rb = input_b();           // đọc để clear mismatch
        if(!(rb &amp; 0x08)) station_flag = 1;
        if(!(rb &amp; 0x80)) run_flag     = 1;
    }
}</t>
  </si>
  <si>
    <t>D  ·  TIMER1 – Đo xung Echo HC-SR04 (Polling, không ISR)</t>
  </si>
  <si>
    <t>Timer1 prescale 1:1 → 200ns/tick. Bật TMR1ON thủ công khi Echo lên, tắt khi Echo xuống. Đọc TMR1H:TMR1L → chia 290 → dist_cm. Không dùng ISR để không xung đột với Timer0 ISR. Timeout: nếu TMR1 &gt; 45000 (=9ms≈1.55m) → return 255 (không có vật cản).</t>
  </si>
  <si>
    <t>Giải thích</t>
  </si>
  <si>
    <t>T1CON</t>
  </si>
  <si>
    <t>0b10000000</t>
  </si>
  <si>
    <t>bit7=1: 16-bit read | bit5-4=00: prescale 1:1 | bit0=0: tắt
Bật thủ công: T1CONbits.TMR1ON=1</t>
  </si>
  <si>
    <t>Prescale</t>
  </si>
  <si>
    <t>1:1 (không chia)</t>
  </si>
  <si>
    <t>1 tick = 1/(Fosc/4) = 1/5MHz = 200ns</t>
  </si>
  <si>
    <t>Công thức dist</t>
  </si>
  <si>
    <t>TMR1_count / 290</t>
  </si>
  <si>
    <t>1cm = 58µs = 58000ns = 290 ticks (×200ns)
dist_cm = (int8)(count/290)</t>
  </si>
  <si>
    <t>Timeout</t>
  </si>
  <si>
    <t>count &gt; 45000</t>
  </si>
  <si>
    <t>45000 × 200ns = 9ms → ~1.55m
Nếu vượt → return 255 (không có vật)</t>
  </si>
  <si>
    <t>Gọi khi nào</t>
  </si>
  <si>
    <t>Chỉ trong STATE_STATION</t>
  </si>
  <si>
    <t>Mỗi lần đo mất ~30ms → không gọi mỗi vòng lặp</t>
  </si>
  <si>
    <t>// ── Timer1 Init (HC-SR04, prescale 1:1, không ISR) ──────────────
void timer1_init(void) {
    T1CON = 0b10000000;  // 16-bit, prescale 1:1, TMR1 OFF
    set_timer1(0);
    PIE1bits.TMR1IE = 0; // KHÔNG dùng ISR
    TRISBbits.TRISB4 = 0; LATBbits.LATB4 = 0; // Trig
    TRISBbits.TRISB5 = 1;                       // Echo
}
// ── hcsr04_read_cm() ─────────────────────────────────────────────
int8 hcsr04_read_cm(void) {
    int16 count, to = 0;
    // Gửi Trig 10µs
    LATBbits.LATB4 = 1; delay_us(10); LATBbits.LATB4 = 0;
    // Chờ Echo lên (timeout ~600µs)
    while(!input(ECHO_PIN)) { if(++to &gt; 3000) return 255; }
    // Đo xung Echo bằng Timer1
    set_timer1(0);
    setup_timer_1(T1_INTERNAL|T1_DIV_BY_1);
    to = 0;
    while(input(ECHO_PIN)) { if(++to &gt; 45000) break; } // timeout ~9ms
    setup_timer_1(T1_DISABLED);
    count = get_timer1();
    return (count &gt; 45000) ? 255 : (int8)(count / 290);
}</t>
  </si>
  <si>
    <t>D  ·  TIMER2 + CCP1/CCP2  –  PWM Motor 20kHz · 8-bit duty 0–255</t>
  </si>
  <si>
    <t>Timer2 tạo period PWM. CCP1→RC2 (Motor trái PWMA) | CCP2→RC1 (Motor phải PWMB). f_PWM = Fosc/(4×(PR2+1)×prescale) = 20MHz/(4×250×1) = 20kHz. ⚠ Nếu RC1 dùng cho LED2: chuyển PWMB sang ECCP hoặc dùng Software PWM.</t>
  </si>
  <si>
    <t>Register</t>
  </si>
  <si>
    <t>Tính toán</t>
  </si>
  <si>
    <t>PR2</t>
  </si>
  <si>
    <t>0xF9 (249)</t>
  </si>
  <si>
    <t>Timer2 period register → xác định tần số PWM</t>
  </si>
  <si>
    <t>f=20MHz/(4×(249+1)×1)=20kHz</t>
  </si>
  <si>
    <t>T2CON</t>
  </si>
  <si>
    <t>Prescale=1:1, Timer2 ON
bit2=1(ON) bit1-0=00(pre=1)</t>
  </si>
  <si>
    <t>prescale khác: 0x05=1:4, 0x06=1:16</t>
  </si>
  <si>
    <t>CCP1CON</t>
  </si>
  <si>
    <t>0x0C</t>
  </si>
  <si>
    <t>CCP1 mode = PWM (bit3-0=1100)
RC2 OUTPUT</t>
  </si>
  <si>
    <t>CCPR1L + CCP1CON&lt;5:4&gt; = 10-bit total</t>
  </si>
  <si>
    <t>CCP2CON</t>
  </si>
  <si>
    <t>CCP2 mode = PWM (bit3-0=1100)
RC1 OUTPUT ← ⚠ xung đột LED2</t>
  </si>
  <si>
    <t>Cân nhắc chuyển LED2 sang pin khác</t>
  </si>
  <si>
    <t>CCPR1L</t>
  </si>
  <si>
    <t>duty&gt;&gt;2</t>
  </si>
  <si>
    <t>Bit 9-2 của duty cycle motor trái</t>
  </si>
  <si>
    <t>8-bit duty: ghi CCPR1L=duty&gt;&gt;2</t>
  </si>
  <si>
    <t>CCP1CON&lt;5:4&gt;</t>
  </si>
  <si>
    <t>duty&amp;0x03</t>
  </si>
  <si>
    <t>Bit 1-0 của duty cycle (2 bit thấp)</t>
  </si>
  <si>
    <t>CCP1CON=(CCP1CON&amp;0xCF)|((duty&amp;3)&lt;&lt;4)</t>
  </si>
  <si>
    <t>CCPR2L</t>
  </si>
  <si>
    <t>Bit 9-2 của duty cycle motor phải</t>
  </si>
  <si>
    <t>Tương tự CCP1 cho kênh phải</t>
  </si>
  <si>
    <t>CCP2CON&lt;5:4&gt;</t>
  </si>
  <si>
    <t>Bit 1-0 duty motor phải</t>
  </si>
  <si>
    <t>CCP2CON=(CCP2CON&amp;0xCF)|((duty&amp;3)&lt;&lt;4)</t>
  </si>
  <si>
    <t>// ── TIMER2 + CCP PWM INIT ────────────────────────────────────────
void pwm_init(void) {
    PR2    = 249;           // f_PWM = 20kHz @ Fosc=20MHz, prescale=1
    T2CON  = 0x04;          // prescale 1:1, Timer2 ON
    CCP1CON = 0x0C;         // CCP1 = PWM mode
    CCP2CON = 0x0C;         // CCP2 = PWM mode
    CCPR1L  = 0; CCPR2L = 0;
    TRISCbits.TRISC2 = 0;   // RC2 = CCP1 OUTPUT (Motor trái)
    TRISCbits.TRISC1 = 0;   // RC1 = CCP2 OUTPUT (Motor phải)
                             // ⚠ RC1 xung đột LED2 – xem giải pháp bên dưới
    // Chờ Timer2 overflow lần đầu để PWM ổn định
    // CCS: PWM ready after setup_timer_2
}
// ── motor_set() – Điều khiển PWM + DIR ──────────────────────────
void motor_set(int8 l, int8 r, MotorDir_t dir) {
    if(dir == DIR_STOP) { l = 0; r = 0; }
    // Chiều quay: AIN1=RB0, BIN1=RB2
    LATBbits.LATB0 = (dir == DIR_FWD) ? 1 : 0;
    LATBbits.LATB2 = (dir == DIR_FWD) ? 1 : 0;
    // CCP1 – Motor trái (RC2)
    set_pwm1_duty((int16)l*4);
    // CCS: 10-bit handled by set_pwm1_duty
    // CCP2 – Motor phải (RC1)
    set_pwm2_duty((int16)r*4);
    // CCS: 10-bit handled by set_pwm2_duty
}</t>
  </si>
  <si>
    <t>F  ·  main() – Thứ tự khởi tạo &amp; Vòng lặp chính (Giải thích rõ từng bước)</t>
  </si>
  <si>
    <t>Bước</t>
  </si>
  <si>
    <t>Hàm gọi</t>
  </si>
  <si>
    <t>Lý do &amp; Điều kiện</t>
  </si>
  <si>
    <t>1</t>
  </si>
  <si>
    <t>gpio_init()</t>
  </si>
  <si>
    <t>GPIO</t>
  </si>
  <si>
    <t>Bắt buộc TRƯỚC TIÊN. ADCON1=0x0F chuyển tất cả pin về digital.
Nếu gọi sau → các ISR có thể bắn với TRISA chưa set → đọc sensor sai ngay chu kỳ đầu.</t>
  </si>
  <si>
    <t>timer0_init()</t>
  </si>
  <si>
    <t>Timer0 → LED ISR</t>
  </si>
  <si>
    <t>Cấu hình Timer0, bật TMR0IE. ISR sẽ chạy sau khi GIE=1 ở bước 6.
led_tick bắt đầu đếm từ 0, LED1/LED2 mặc định tắt.</t>
  </si>
  <si>
    <t>3</t>
  </si>
  <si>
    <t>timer1_init()</t>
  </si>
  <si>
    <t>Timer1 → HC-SR04</t>
  </si>
  <si>
    <t>Cấu hình Timer1 prescale 1:1, TMR1ON=0. Không bật ISR.
Sẵn sàng để hcsr04_read_cm() bật/tắt TMR1ON thủ công.</t>
  </si>
  <si>
    <t>pwm_init()</t>
  </si>
  <si>
    <t>Timer2 + CCP</t>
  </si>
  <si>
    <t>Cấu hình PWM 20kHz. Hàm có while(!TMR2IF) chờ overflow đầu tiên.
Cần gọi sau gpio_init() (TRISC đã set output) để CCP hoạt động đúng.</t>
  </si>
  <si>
    <t>led_init()</t>
  </si>
  <si>
    <t>LED1 RC0, LED2 RC1</t>
  </si>
  <si>
    <t>Đặt TRISC0=TRISC1=OUTPUT, tắt cả 2 LED, reset led2_blink_en=0.
Gọi sau timer0_init() để tránh LED nháy ngẫu nhiên trước khi init xong.</t>
  </si>
  <si>
    <t>6</t>
  </si>
  <si>
    <t>GIE=1, PEIE=1
IOCB, RBIE=1</t>
  </si>
  <si>
    <t>Interrupts</t>
  </si>
  <si>
    <t>Bật ngắt toàn cục cuối cùng. Từ đây Timer0 ISR bắt đầu chạy, IOCB hoạt động.
IOCB=0b10001000: theo dõi thay đổi RB3 (ball sensor) và RB7 (BTN).</t>
  </si>
  <si>
    <t>7</t>
  </si>
  <si>
    <t>idle_entry()</t>
  </si>
  <si>
    <t>State Machine</t>
  </si>
  <si>
    <t>Vào STATE_IDLE: motor dừng, LED tắt, chờ nút bấm RB7.
Đây là điểm bắt đầu của state machine.</t>
  </si>
  <si>
    <t>Vòng lặp chính while(1) – Cấu trúc State Machine</t>
  </si>
  <si>
    <t>Hàm / Cấu trúc</t>
  </si>
  <si>
    <t>Việc làm</t>
  </si>
  <si>
    <t>Lưu ý quan trọng</t>
  </si>
  <si>
    <t>while(1)</t>
  </si>
  <si>
    <t>Vòng lặp vô tận. PIC18 không bao giờ thoát main().</t>
  </si>
  <si>
    <t>Mỗi vòng lặp ≈ 1–3ms tùy state.
Timer0 ISR có thể ngắt giữa chừng (low priority).</t>
  </si>
  <si>
    <t>switch(current_state)</t>
  </si>
  <si>
    <t>Gọi update() của state hiện tại.</t>
  </si>
  <si>
    <t>Chỉ chạy đúng 1 state/vòng. Transition thay đổi current_state, entry() được gọi ngay.</t>
  </si>
  <si>
    <t>Đọc sensor (có chatter filter N=3), tra bảng, gọi motor_set().</t>
  </si>
  <si>
    <t>Đây là state chạy nhiều nhất. Không gọi hcsr04 ở đây (tốn 30ms).</t>
  </si>
  <si>
    <t>station_update()</t>
  </si>
  <si>
    <t>Bám line chậm (PWM/2), gọi hcsr04_read_cm() kiểm tra khoảng cách.</t>
  </si>
  <si>
    <t>Mỗi vòng mất ~30ms do đo siêu âm. Khi dist≤8cm → STATION_STOP.</t>
  </si>
  <si>
    <t>station_stop_update()</t>
  </si>
  <si>
    <t>Kiểm tra ball_ok (RB3). Nếu có → led2_blink.</t>
  </si>
  <si>
    <t>Không gọi hcsr04 ở đây. Timeout 2000ms nếu không gắp được bi.</t>
  </si>
  <si>
    <t>end_update()</t>
  </si>
  <si>
    <t>LED1 đã tắt (trong entry). Chờ nút để reset về IDLE.</t>
  </si>
  <si>
    <t>Không chạy motor. STBY=LOW để tiết kiệm điện.</t>
  </si>
  <si>
    <t>Code main() – Rút gọn (focus vào thứ tự và cấu trúc)</t>
  </si>
  <si>
    <t>void main(void) {
    // ① GPIO trước tiên (ADCON1=0x0F bắt buộc!)
    gpio_init();
    // ② Timer0 → LED ISR 5ms
    timer0_init();
    // ③ Timer1 → HC-SR04 (không ISR, polling)
    timer1_init();
    // ④ Timer2 + CCP → PWM Motor 20kHz
    pwm_init();
    // ⑤ LED init (tắt cả 2)
    led_init();
    // ⑥ Bật interrupts (sau cùng)
    // CCS: không cần PEIE
    enable_interrupts(GLOBAL);
    // CCS: INT_RB handles IOCB     // RB3 (ball) + RB7 (BTN)
    enable_interrupts(INT_RB);
    // ⑦ Bắt đầu State Machine
    current_state = STATE_IDLE;
    idle_entry();
    // ⑧ Vòng lặp chính
    while(1) {
        switch(current_state) {
            case STATE_IDLE:          idle_update();          break;
            case STATE_CALIBRATION:   calib_update();         break;
            case STATE_FOLLOW_LINE:   follow_line_update();   break;
            case STATE_STATION:       station_update();       break;
            case STATE_STATION_STOP:  station_stop_update();  break;
            case STATE_STATION_BACK:  station_back_update();  break;
            case STATE_NAVIGATION:    nav_update();           break;
            case STATE_BACK:          back_update();          break;
            case STATE_ERROR:         error_update();         break;
            case STATE_END:           end_update();           break;
            default: transition(STATE_IDLE);            break;
        }
    }
    // CCS C: no return in main()
}</t>
  </si>
  <si>
    <t>void main(void) {
    gpio_init();   timer0_init();   timer1_init();   pwm_init();   led_init();
    // CCS: không cần PEIE  INTCONbits.GIE = 1;
    // CCS: INT_RB handles IOCB   enable_interrupts(INT_RB);  // RB3 + RB7
    current_state = STATE_IDLE;
    idle_entry();
    while(1) {
        switch(current_state) {
            case STATE_IDLE:          idle_update();          break;
            case STATE_FOLLOW_LINE:   follow_line_update();   break;
            case STATE_STATION:       station_update();       break;
            case STATE_STATION_STOP:  station_stop_update();  break;
            case STATE_STATION_BACK:  station_back_update();  break;
            case STATE_NAVIGATION:    nav_update();           break;
            case STATE_BACK:          back_update();          break;
            case STATE_ERROR:         error_update();         break;
            case STATE_END:           end_update();           break;
            default: transition(STATE_IDLE); break;
        }
    }
    // CCS C: no return in main()   // dead code – compiler warning suppression</t>
  </si>
  <si>
    <t>G  ·  Câu hỏi &amp; Giải thích</t>
  </si>
  <si>
    <t>Q1: Tại sao Timer0 cho LED thay vì Timer1?</t>
  </si>
  <si>
    <t>Timer1 cần prescale 1:1 (200ns/tick) để đo xung Echo HC-SR04 chính xác. Prescale này quá nhỏ để làm LED blink (sẽ overflow quá nhanh). Timer0 với prescale 1:256 thoải mái tạo period 5ms cho LED mà không lãng phí độ phân giải.</t>
  </si>
  <si>
    <t>Q2: Tại sao Timer1 không dùng ISR cho HC-SR04?</t>
  </si>
  <si>
    <t>Timer0 ISR đang chạy (low priority). Nếu Timer1 cũng dùng ISR, cần phân biệt high/low priority cẩn thận. HC-SR04 đo xong trong ~30ms, blocking một lần trong STATE_STATION là chấp nhận được. Đơn giản hơn nhiều, ít bug hơn.</t>
  </si>
  <si>
    <t>Q3: Tại sao CCP2 đổi từ RC1 sang RC3?</t>
  </si>
  <si>
    <t>RC1 cần dùng cho LED2. CCP2 có thể map sang RC3 trên PIC18F2685 bằng cách đặt TRISC3=0 và CCP2CON=0x0C. RC3 là pin output tự do, không xung đột với module nào khác.</t>
  </si>
  <si>
    <t>Q4: LED2 nháy 200ms hoạt động thế nào mà không cần delay?</t>
  </si>
  <si>
    <t>Timer0 ISR tăng led_tick mỗi 5ms. Trong ISR: if(led2_blink_en &amp;&amp; led_tick%40==0) toggle RC1. 40 × 5ms = 200ms. Hoàn toàn non-blocking, CPU không bị chặn, vòng lặp chính vẫn chạy bình thường.</t>
  </si>
  <si>
    <t>Q5: STBY pin (RB6) và RELEASE pin có xung đột không?</t>
  </si>
  <si>
    <t>Trong thiết kế này RELEASE dùng RC5 (pin riêng). RB6 chỉ dùng cho STBY TB8833. end_entry(): STBY=LOW (tắt motor) + RC5=HIGH (kích cơ cấu thả). Không xung đột.</t>
  </si>
  <si>
    <t>Chân</t>
  </si>
  <si>
    <t>Tên Chân (PIC)</t>
  </si>
  <si>
    <t>Nhóm Linh kiện</t>
  </si>
  <si>
    <t>Kết nối &amp; Chức năng cụ thể</t>
  </si>
  <si>
    <t>MCLR/Vpp</t>
  </si>
  <si>
    <t>Nạp chương trình</t>
  </si>
  <si>
    <t>Chân Reset hệ thống và nạp điện áp</t>
  </si>
  <si>
    <t>RA0/AN0</t>
  </si>
  <si>
    <t>Sensor Circuit</t>
  </si>
  <si>
    <t>Cảm biến Trái (Sensor 1)</t>
  </si>
  <si>
    <t>RA1/AN1</t>
  </si>
  <si>
    <t>Cảm biến Giữa (Sensor 2)</t>
  </si>
  <si>
    <t>RA2/AN2</t>
  </si>
  <si>
    <t>Cảm biến Phải (Sensor 3)</t>
  </si>
  <si>
    <t>RA3/AN3</t>
  </si>
  <si>
    <t>Cơ cấu cơ khí</t>
  </si>
  <si>
    <t>Để trống (Dự phòng CPU_PIN4)</t>
  </si>
  <si>
    <t>RA4/T0CKI</t>
  </si>
  <si>
    <t>Để trống (Dự phòng CPU_PIN5)</t>
  </si>
  <si>
    <t>RA5/AN4</t>
  </si>
  <si>
    <t>Để trống (Dự phòng CPU_PIN6)</t>
  </si>
  <si>
    <t>VSS</t>
  </si>
  <si>
    <t>Nguồn</t>
  </si>
  <si>
    <t>Nối đất (GNDPWR)</t>
  </si>
  <si>
    <t>RA6/OSC1</t>
  </si>
  <si>
    <t>Dao động</t>
  </si>
  <si>
    <t>Chân thạch anh đầu vào (CPU_PIN7)</t>
  </si>
  <si>
    <t>RA7/OSC2</t>
  </si>
  <si>
    <t>Chân thạch anh đầu ra (CPU_PIN8)</t>
  </si>
  <si>
    <t>Led Circuit</t>
  </si>
  <si>
    <t>Điều khiển LED D1</t>
  </si>
  <si>
    <t>RC1/CCP2</t>
  </si>
  <si>
    <t>Drive Circuit</t>
  </si>
  <si>
    <t>PWMB - Tốc độ Motor Phải</t>
  </si>
  <si>
    <t>RC2/CCP1</t>
  </si>
  <si>
    <t>PWMA - Tốc độ Motor Trái</t>
  </si>
  <si>
    <t>Điều khiển LED D2</t>
  </si>
  <si>
    <t>Để trống (Dự phòng CPU_PIN13)</t>
  </si>
  <si>
    <t>Để trống (Dự phòng CPU_PIN14)</t>
  </si>
  <si>
    <t>RC6/TX</t>
  </si>
  <si>
    <t>Giao tiếp</t>
  </si>
  <si>
    <t>Chân truyền UART (CPU_PIN15)</t>
  </si>
  <si>
    <t>RC7/RX</t>
  </si>
  <si>
    <t>Chân nhận UART (CPU_PIN16)</t>
  </si>
  <si>
    <t>VDD</t>
  </si>
  <si>
    <t>Nguồn dương nuôi vi điều khiển</t>
  </si>
  <si>
    <t>RB0/INT</t>
  </si>
  <si>
    <t>Check point</t>
  </si>
  <si>
    <t>Nút nhấn SW2</t>
  </si>
  <si>
    <t>RB1</t>
  </si>
  <si>
    <t>Nút nhấn SW3</t>
  </si>
  <si>
    <t>AIN1 - Hướng Motor Trái</t>
  </si>
  <si>
    <t>Programming</t>
  </si>
  <si>
    <t>BIN1 - Hướng Motor Phải</t>
  </si>
  <si>
    <t>Control/Ultra</t>
  </si>
  <si>
    <t>Trig - Phát sóng siêu âm HC-SR04</t>
  </si>
  <si>
    <t>Echo - Nhận sóng siêu âm HC-SR04</t>
  </si>
  <si>
    <t>RB6/PGC</t>
  </si>
  <si>
    <t>Drive/Program</t>
  </si>
  <si>
    <t>STBY (Kích hoạt Driver) / Nạp PGC</t>
  </si>
  <si>
    <t>RB7/PGD</t>
  </si>
  <si>
    <t>Chân nạp dữ liệu PGD</t>
  </si>
  <si>
    <t xml:space="preserve">  TB6612: AIN1=RB0(DIR_L), AIN2=RB1 fixed LOW, PWMA=CCP1(RC2)</t>
  </si>
  <si>
    <t>station_stop_update():
  ball_ok=
    !input(PIN_B3)
  if(ball_ok){
    GRAB_PIN=0
    transition(
      STATION_BACK)
    return
  }
  // Timeout 2s
  if(TMR1_elapsed(
       grab_tmr)&gt;GRAB_MS){
    GRAB_PIN=0
    transition(FOLLOW_LINE)
  }</t>
  </si>
  <si>
    <t>MOTOR STATES · TB6612 DRIVER · CCP PWM CONFIG · PIC18F2685</t>
  </si>
  <si>
    <t>7 MOTOR STATE – PWM 0-255, DIR GPIO, TB6612 PIN MAPPING</t>
  </si>
  <si>
    <t>Cả 2 motor dừng. PWM=0, STBY không đổi. TB6612: PWMA=PWMB=0.</t>
  </si>
  <si>
    <t>Cả 2 lùi. AIN1=0,BIN1=0. DIR_BWD đảo chiều cả 2 kênh TB6612.</t>
  </si>
  <si>
    <t>Bắt buộc kéo HIGH để TB6612 hoạt động. LOW = sleep.</t>
  </si>
  <si>
    <t>Nguồn logic TB6612. Nối với VDD PIC18.</t>
  </si>
  <si>
    <t>GND chung PIC18 và TB6612. Phải nối chung.</t>
  </si>
  <si>
    <t>Timer2 + CCP
(PWM Motor
TB6612 20kHz)</t>
  </si>
  <si>
    <t>TB6612 DIR Motor trái</t>
  </si>
  <si>
    <t>TB6612 DIR Motor phải</t>
  </si>
  <si>
    <t>TB6612 Enable</t>
  </si>
  <si>
    <t>TB6612 PWMA Motor trái</t>
  </si>
  <si>
    <t>TB6612 PWMB Motor phải</t>
  </si>
  <si>
    <t>TB6612 STBY</t>
  </si>
  <si>
    <t>AIN1 TB6612 (DIR L)</t>
  </si>
  <si>
    <t>BIN1 TB6612 (DIR R)</t>
  </si>
  <si>
    <t>HIGH=enable TB6612. LOW=sleep.</t>
  </si>
  <si>
    <t>PWMB TB6612 (Motor phải)</t>
  </si>
  <si>
    <t>PWMA TB6612 (Motor trái)</t>
  </si>
  <si>
    <t>Motor TB6612
PWM 20kHz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</si>
</sst>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charset val="1"/>
    </font>
    <font>
      <b/>
      <sz val="12"/>
      <color rgb="FFFFFFFF"/>
      <name val="Arial"/>
      <charset val="1"/>
    </font>
    <font>
      <b/>
      <sz val="9"/>
      <color rgb="FFFFFFFF"/>
      <name val="Arial"/>
      <charset val="1"/>
    </font>
    <font>
      <b/>
      <sz val="10"/>
      <color rgb="FFFFFFFF"/>
      <name val="Arial"/>
      <charset val="1"/>
    </font>
    <font>
      <b/>
      <sz val="9"/>
      <color rgb="FF7B3300"/>
      <name val="Arial"/>
      <charset val="1"/>
    </font>
    <font>
      <sz val="9"/>
      <color rgb="FF154360"/>
      <name val="Courier New"/>
      <charset val="1"/>
    </font>
    <font>
      <sz val="9"/>
      <color rgb="FF000000"/>
      <name val="Arial"/>
      <family val="2"/>
      <charset val="1"/>
    </font>
    <font>
      <b/>
      <sz val="10"/>
      <color rgb="FF000000"/>
      <name val="Arial"/>
      <charset val="1"/>
    </font>
    <font>
      <sz val="9"/>
      <color rgb="FF000000"/>
      <name val="Arial"/>
      <charset val="1"/>
    </font>
    <font>
      <sz val="8"/>
      <color rgb="FF154360"/>
      <name val="Courier New"/>
      <charset val="1"/>
    </font>
    <font>
      <b/>
      <sz val="9"/>
      <color rgb="FF000000"/>
      <name val="Arial"/>
      <charset val="1"/>
    </font>
    <font>
      <b/>
      <sz val="11"/>
      <color rgb="FF000000"/>
      <name val="Arial"/>
      <charset val="1"/>
    </font>
    <font>
      <b/>
      <sz val="9"/>
      <color rgb="FFFFFFFF"/>
      <name val="Arial"/>
      <family val="2"/>
      <charset val="1"/>
    </font>
    <font>
      <sz val="9"/>
      <color rgb="FF000000"/>
      <name val="Consolas"/>
      <charset val="1"/>
    </font>
    <font>
      <sz val="8"/>
      <color rgb="FFD4D4D4"/>
      <name val="Consolas"/>
      <charset val="1"/>
    </font>
    <font>
      <i/>
      <sz val="9"/>
      <color rgb="FF000000"/>
      <name val="Arial"/>
      <charset val="1"/>
    </font>
    <font>
      <b/>
      <sz val="11"/>
      <color rgb="FFFFFFFF"/>
      <name val="Arial"/>
      <charset val="1"/>
    </font>
    <font>
      <i/>
      <sz val="9"/>
      <color rgb="FF555555"/>
      <name val="Arial"/>
      <charset val="1"/>
    </font>
    <font>
      <b/>
      <sz val="13"/>
      <color rgb="FFFFFFFF"/>
      <name val="Arial"/>
      <charset val="1"/>
    </font>
    <font>
      <sz val="10"/>
      <color rgb="FF000000"/>
      <name val="Arial"/>
      <charset val="1"/>
    </font>
    <font>
      <i/>
      <sz val="10"/>
      <color rgb="FF000000"/>
      <name val="Arial"/>
      <charset val="1"/>
    </font>
    <font>
      <b/>
      <sz val="9"/>
      <color rgb="FF000000"/>
      <name val="Consolas"/>
      <charset val="1"/>
    </font>
    <font>
      <sz val="9"/>
      <color rgb="FFD4D4D4"/>
      <name val="Consolas"/>
      <charset val="1"/>
    </font>
    <font>
      <b/>
      <sz val="11"/>
      <color rgb="FFFFFFFF"/>
      <name val="Arial"/>
      <family val="2"/>
    </font>
    <font>
      <b/>
      <sz val="11"/>
      <color theme="1"/>
      <name val="Times New Roman"/>
      <family val="1"/>
    </font>
    <font>
      <sz val="11"/>
      <color theme="1"/>
      <name val="Times New Roman"/>
      <family val="1"/>
    </font>
    <font>
      <b/>
      <sz val="12"/>
      <color theme="1"/>
      <name val="Times New Roman"/>
      <family val="1"/>
    </font>
    <font>
      <b/>
      <sz val="9"/>
      <color rgb="FFFFFFFF"/>
      <name val="Arial"/>
    </font>
    <font>
      <sz val="8"/>
      <color rgb="FFD4D4D4"/>
      <name val="Courier New"/>
    </font>
    <font>
      <b/>
      <sz val="11"/>
      <color rgb="FFFFFFFF"/>
      <name val="Arial"/>
    </font>
  </fonts>
  <fills count="54">
    <fill>
      <patternFill patternType="none"/>
    </fill>
    <fill>
      <patternFill patternType="gray125"/>
    </fill>
    <fill>
      <patternFill patternType="solid">
        <fgColor theme="3"/>
        <bgColor rgb="FF1F4E79"/>
      </patternFill>
    </fill>
    <fill>
      <patternFill patternType="solid">
        <fgColor theme="0"/>
        <bgColor rgb="FFFDFEFE"/>
      </patternFill>
    </fill>
    <fill>
      <patternFill patternType="solid">
        <fgColor rgb="FF1F618D"/>
        <bgColor rgb="FF2F5496"/>
      </patternFill>
    </fill>
    <fill>
      <patternFill patternType="solid">
        <fgColor rgb="FFE65100"/>
        <bgColor rgb="FFA0522D"/>
      </patternFill>
    </fill>
    <fill>
      <patternFill patternType="solid">
        <fgColor rgb="FFFFF3E0"/>
        <bgColor rgb="FFFEF9E7"/>
      </patternFill>
    </fill>
    <fill>
      <patternFill patternType="solid">
        <fgColor rgb="FFFDFEFE"/>
        <bgColor rgb="FFFFFFFF"/>
      </patternFill>
    </fill>
    <fill>
      <patternFill patternType="solid">
        <fgColor rgb="FF154360"/>
        <bgColor rgb="FF1A3A5C"/>
      </patternFill>
    </fill>
    <fill>
      <patternFill patternType="solid">
        <fgColor rgb="FFFDEDEC"/>
        <bgColor rgb="FFFFF3E0"/>
      </patternFill>
    </fill>
    <fill>
      <patternFill patternType="solid">
        <fgColor rgb="FFD6EAF8"/>
        <bgColor rgb="FFD6E4F0"/>
      </patternFill>
    </fill>
    <fill>
      <patternFill patternType="solid">
        <fgColor rgb="FFFDEBD0"/>
        <bgColor rgb="FFFFF0D0"/>
      </patternFill>
    </fill>
    <fill>
      <patternFill patternType="solid">
        <fgColor rgb="FFEAFAF1"/>
        <bgColor rgb="FFE8F5E9"/>
      </patternFill>
    </fill>
    <fill>
      <patternFill patternType="solid">
        <fgColor rgb="FFFEF9E7"/>
        <bgColor rgb="FFFFFDE7"/>
      </patternFill>
    </fill>
    <fill>
      <patternFill patternType="solid">
        <fgColor rgb="FF1A3A5C"/>
        <bgColor rgb="FF1F3864"/>
      </patternFill>
    </fill>
    <fill>
      <patternFill patternType="solid">
        <fgColor rgb="FFD5F5E3"/>
        <bgColor rgb="FFE2EFDA"/>
      </patternFill>
    </fill>
    <fill>
      <patternFill patternType="solid">
        <fgColor rgb="FFD5E8D4"/>
        <bgColor rgb="FFE2EFDA"/>
      </patternFill>
    </fill>
    <fill>
      <patternFill patternType="solid">
        <fgColor rgb="FFEBF5FB"/>
        <bgColor rgb="FFEBF3FB"/>
      </patternFill>
    </fill>
    <fill>
      <patternFill patternType="solid">
        <fgColor rgb="FF1F3864"/>
        <bgColor rgb="FF1A3A5C"/>
      </patternFill>
    </fill>
    <fill>
      <patternFill patternType="solid">
        <fgColor rgb="FFEBF3FB"/>
        <bgColor rgb="FFEBF5FB"/>
      </patternFill>
    </fill>
    <fill>
      <patternFill patternType="solid">
        <fgColor rgb="FF2F5496"/>
        <bgColor rgb="FF1F618D"/>
      </patternFill>
    </fill>
    <fill>
      <patternFill patternType="solid">
        <fgColor rgb="FFDDEEFF"/>
        <bgColor rgb="FFD6EAF8"/>
      </patternFill>
    </fill>
    <fill>
      <patternFill patternType="solid">
        <fgColor rgb="FF1E1E1E"/>
        <bgColor rgb="FF3E2723"/>
      </patternFill>
    </fill>
    <fill>
      <patternFill patternType="solid">
        <fgColor rgb="FFFFF2CC"/>
        <bgColor rgb="FFFFF0D0"/>
      </patternFill>
    </fill>
    <fill>
      <patternFill patternType="solid">
        <fgColor rgb="FFFFF0D0"/>
        <bgColor rgb="FFFFF2CC"/>
      </patternFill>
    </fill>
    <fill>
      <patternFill patternType="solid">
        <fgColor rgb="FFE2EFDA"/>
        <bgColor rgb="FFE8F5E9"/>
      </patternFill>
    </fill>
    <fill>
      <patternFill patternType="solid">
        <fgColor rgb="FF1F4E79"/>
        <bgColor rgb="FF1F497D"/>
      </patternFill>
    </fill>
    <fill>
      <patternFill patternType="solid">
        <fgColor rgb="FF2E75B6"/>
        <bgColor rgb="FF1F618D"/>
      </patternFill>
    </fill>
    <fill>
      <patternFill patternType="solid">
        <fgColor rgb="FFFCE4D6"/>
        <bgColor rgb="FFFDEBD0"/>
      </patternFill>
    </fill>
    <fill>
      <patternFill patternType="solid">
        <fgColor rgb="FFFFD700"/>
        <bgColor rgb="FFFF9800"/>
      </patternFill>
    </fill>
    <fill>
      <patternFill patternType="solid">
        <fgColor rgb="FFC6EFCE"/>
        <bgColor rgb="FFD5E8D4"/>
      </patternFill>
    </fill>
    <fill>
      <patternFill patternType="solid">
        <fgColor rgb="FFFF9800"/>
        <bgColor rgb="FFFFD700"/>
      </patternFill>
    </fill>
    <fill>
      <patternFill patternType="solid">
        <fgColor rgb="FF00B050"/>
        <bgColor rgb="FF2E75B6"/>
      </patternFill>
    </fill>
    <fill>
      <patternFill patternType="solid">
        <fgColor rgb="FFD6E4F0"/>
        <bgColor rgb="FFD6EAF8"/>
      </patternFill>
    </fill>
    <fill>
      <patternFill patternType="solid">
        <fgColor rgb="FF375623"/>
        <bgColor rgb="FF2D572C"/>
      </patternFill>
    </fill>
    <fill>
      <patternFill patternType="solid">
        <fgColor rgb="FF7B3F00"/>
        <bgColor rgb="FF7B3300"/>
      </patternFill>
    </fill>
    <fill>
      <patternFill patternType="solid">
        <fgColor rgb="FFA0522D"/>
        <bgColor rgb="FF7B3F00"/>
      </patternFill>
    </fill>
    <fill>
      <patternFill patternType="solid">
        <fgColor rgb="FF4A235A"/>
        <bgColor rgb="FF3E2723"/>
      </patternFill>
    </fill>
    <fill>
      <patternFill patternType="solid">
        <fgColor rgb="FFEDE7F6"/>
        <bgColor rgb="FFEBF3FB"/>
      </patternFill>
    </fill>
    <fill>
      <patternFill patternType="solid">
        <fgColor rgb="FF7B0000"/>
        <bgColor rgb="FF800000"/>
      </patternFill>
    </fill>
    <fill>
      <patternFill patternType="solid">
        <fgColor rgb="FF2D572C"/>
        <bgColor rgb="FF375623"/>
      </patternFill>
    </fill>
    <fill>
      <patternFill patternType="solid">
        <fgColor rgb="FF4A4A4A"/>
        <bgColor rgb="FF555555"/>
      </patternFill>
    </fill>
    <fill>
      <patternFill patternType="solid">
        <fgColor rgb="FF555555"/>
        <bgColor rgb="FF4A4A4A"/>
      </patternFill>
    </fill>
    <fill>
      <patternFill patternType="solid">
        <fgColor rgb="FF3E2723"/>
        <bgColor rgb="FF1E1E1E"/>
      </patternFill>
    </fill>
    <fill>
      <patternFill patternType="solid">
        <fgColor rgb="FFFFFDE7"/>
        <bgColor rgb="FFFEF9E7"/>
      </patternFill>
    </fill>
    <fill>
      <patternFill patternType="solid">
        <fgColor rgb="FFE8F5E9"/>
        <bgColor rgb="FFEAFAF1"/>
      </patternFill>
    </fill>
    <fill>
      <patternFill patternType="solid">
        <fgColor rgb="FFF1F8E9"/>
        <bgColor rgb="FFEAFAF1"/>
      </patternFill>
    </fill>
    <fill>
      <patternFill patternType="solid">
        <fgColor rgb="FF375623"/>
        <bgColor rgb="FF4A4A4A"/>
      </patternFill>
    </fill>
    <fill>
      <patternFill patternType="solid">
        <fgColor rgb="FFFCE4D6"/>
        <bgColor rgb="FFFCE9D9"/>
      </patternFill>
    </fill>
    <fill>
      <patternFill patternType="solid">
        <fgColor rgb="FF1E1E1E"/>
        <bgColor rgb="FF1A3A5C"/>
      </patternFill>
    </fill>
    <fill>
      <patternFill patternType="solid">
        <fgColor theme="0"/>
        <bgColor indexed="64"/>
      </patternFill>
    </fill>
    <fill>
      <patternFill patternType="solid">
        <fgColor rgb="FF2E75B6"/>
      </patternFill>
    </fill>
    <fill>
      <patternFill patternType="solid">
        <fgColor rgb="FF1E1E1E"/>
      </patternFill>
    </fill>
    <fill>
      <patternFill patternType="solid">
        <fgColor rgb="FF1F3864"/>
      </patternFill>
    </fill>
  </fills>
  <borders count="26">
    <border>
      <left/>
      <right/>
      <top/>
      <bottom/>
      <diagonal/>
    </border>
    <border>
      <left style="medium">
        <color rgb="FF1A3A5C"/>
      </left>
      <right/>
      <top style="medium">
        <color rgb="FF1A3A5C"/>
      </top>
      <bottom style="medium">
        <color rgb="FF1A3A5C"/>
      </bottom>
      <diagonal/>
    </border>
    <border>
      <left style="medium">
        <color rgb="FFE65100"/>
      </left>
      <right/>
      <top style="medium">
        <color rgb="FFE65100"/>
      </top>
      <bottom style="medium">
        <color rgb="FFE65100"/>
      </bottom>
      <diagonal/>
    </border>
    <border>
      <left style="thin">
        <color rgb="FF1F618D"/>
      </left>
      <right/>
      <top style="thin">
        <color rgb="FF1F618D"/>
      </top>
      <bottom style="thin">
        <color rgb="FF1F618D"/>
      </bottom>
      <diagonal/>
    </border>
    <border>
      <left style="thin">
        <color rgb="FF1F618D"/>
      </left>
      <right style="thin">
        <color rgb="FF1F618D"/>
      </right>
      <top style="thin">
        <color rgb="FF1F618D"/>
      </top>
      <bottom style="thin">
        <color rgb="FF1F618D"/>
      </bottom>
      <diagonal/>
    </border>
    <border>
      <left/>
      <right style="thin">
        <color rgb="FF1F618D"/>
      </right>
      <top/>
      <bottom/>
      <diagonal/>
    </border>
    <border>
      <left style="thin">
        <color rgb="FF1F618D"/>
      </left>
      <right/>
      <top style="thin">
        <color rgb="FF1F618D"/>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style="thin">
        <color indexed="64"/>
      </left>
      <right style="thin">
        <color indexed="64"/>
      </right>
      <top style="thin">
        <color indexed="64"/>
      </top>
      <bottom style="thin">
        <color indexed="64"/>
      </bottom>
      <diagonal/>
    </border>
    <border>
      <left/>
      <right/>
      <top style="thin">
        <color rgb="FFAAAAAA"/>
      </top>
      <bottom/>
      <diagonal/>
    </border>
    <border>
      <left style="thin">
        <color rgb="FFAAAAAA"/>
      </left>
      <right/>
      <top/>
      <bottom style="thin">
        <color rgb="FFAAAAAA"/>
      </bottom>
      <diagonal/>
    </border>
    <border>
      <left/>
      <right/>
      <top/>
      <bottom style="thin">
        <color rgb="FFAAAAAA"/>
      </bottom>
      <diagonal/>
    </border>
    <border>
      <left style="thin">
        <color rgb="FFAAAAAA"/>
      </left>
      <right/>
      <top/>
      <bottom/>
      <diagonal/>
    </border>
    <border>
      <left style="medium">
        <color rgb="FF1A3A5C"/>
      </left>
      <right/>
      <top/>
      <bottom/>
      <diagonal/>
    </border>
    <border>
      <left style="thin">
        <color rgb="FFAAAAAA"/>
      </left>
      <right/>
      <top style="thin">
        <color rgb="FFAAAAAA"/>
      </top>
      <bottom/>
      <diagonal/>
    </border>
    <border>
      <left/>
      <right style="thin">
        <color rgb="FFAAAAAA"/>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AAAAAA"/>
      </left>
      <right/>
      <top style="thin">
        <color indexed="64"/>
      </top>
      <bottom/>
      <diagonal/>
    </border>
    <border>
      <left/>
      <right/>
      <top style="thin">
        <color indexed="64"/>
      </top>
      <bottom/>
      <diagonal/>
    </border>
    <border>
      <left/>
      <right style="medium">
        <color rgb="FF1A3A5C"/>
      </right>
      <top/>
      <bottom/>
      <diagonal/>
    </border>
    <border>
      <left/>
      <right style="medium">
        <color rgb="FFE65100"/>
      </right>
      <top/>
      <bottom/>
      <diagonal/>
    </border>
    <border>
      <left style="thin">
        <color rgb="FF1F618D"/>
      </left>
      <right/>
      <top/>
      <bottom/>
      <diagonal/>
    </border>
  </borders>
  <cellStyleXfs count="1">
    <xf numFmtId="0" fontId="0" fillId="0" borderId="0"/>
  </cellStyleXfs>
  <cellXfs count="255">
    <xf numFmtId="0" fontId="0" fillId="0" borderId="0" xfId="0"/>
    <xf numFmtId="0" fontId="1" fillId="3" borderId="1" xfId="0" applyFont="1" applyFill="1" applyBorder="1" applyAlignment="1">
      <alignment vertical="center" wrapText="1"/>
    </xf>
    <xf numFmtId="0" fontId="0" fillId="3" borderId="0" xfId="0" applyFill="1"/>
    <xf numFmtId="0" fontId="2" fillId="8" borderId="4" xfId="0" applyFont="1" applyFill="1" applyBorder="1" applyAlignment="1">
      <alignment horizontal="center" vertical="center" wrapText="1"/>
    </xf>
    <xf numFmtId="0" fontId="5" fillId="7" borderId="4" xfId="0" applyFont="1" applyFill="1" applyBorder="1" applyAlignment="1">
      <alignment horizontal="left" vertical="center" wrapText="1"/>
    </xf>
    <xf numFmtId="0" fontId="6" fillId="9" borderId="4" xfId="0" applyFont="1" applyFill="1" applyBorder="1" applyAlignment="1">
      <alignment horizontal="left" vertical="center" wrapText="1"/>
    </xf>
    <xf numFmtId="0" fontId="7" fillId="10" borderId="4" xfId="0" applyFont="1" applyFill="1" applyBorder="1" applyAlignment="1">
      <alignment horizontal="center" vertical="center" wrapText="1"/>
    </xf>
    <xf numFmtId="0" fontId="7" fillId="11" borderId="4" xfId="0" applyFont="1" applyFill="1" applyBorder="1" applyAlignment="1">
      <alignment horizontal="left" vertical="center" wrapText="1"/>
    </xf>
    <xf numFmtId="0" fontId="3" fillId="4" borderId="4" xfId="0" applyFont="1" applyFill="1" applyBorder="1" applyAlignment="1">
      <alignment horizontal="left" vertical="center" wrapText="1"/>
    </xf>
    <xf numFmtId="0" fontId="8" fillId="11" borderId="4" xfId="0" applyFont="1" applyFill="1" applyBorder="1" applyAlignment="1">
      <alignment horizontal="left" vertical="center" wrapText="1"/>
    </xf>
    <xf numFmtId="0" fontId="8" fillId="12" borderId="4" xfId="0" applyFont="1" applyFill="1" applyBorder="1" applyAlignment="1">
      <alignment horizontal="left" vertical="center" wrapText="1"/>
    </xf>
    <xf numFmtId="0" fontId="8" fillId="10" borderId="4" xfId="0" applyFont="1" applyFill="1" applyBorder="1" applyAlignment="1">
      <alignment horizontal="left" vertical="center" wrapText="1"/>
    </xf>
    <xf numFmtId="0" fontId="8" fillId="13" borderId="4" xfId="0" applyFont="1" applyFill="1" applyBorder="1" applyAlignment="1">
      <alignment horizontal="left" vertical="center" wrapText="1"/>
    </xf>
    <xf numFmtId="0" fontId="2" fillId="4" borderId="4" xfId="0" applyFont="1" applyFill="1" applyBorder="1" applyAlignment="1">
      <alignment horizontal="left" vertical="center" wrapText="1"/>
    </xf>
    <xf numFmtId="0" fontId="9" fillId="7" borderId="4" xfId="0" applyFont="1" applyFill="1" applyBorder="1" applyAlignment="1">
      <alignment horizontal="left" vertical="center" wrapText="1"/>
    </xf>
    <xf numFmtId="0" fontId="9" fillId="15" borderId="4" xfId="0" applyFont="1" applyFill="1" applyBorder="1" applyAlignment="1">
      <alignment horizontal="left" vertical="center" wrapText="1"/>
    </xf>
    <xf numFmtId="0" fontId="9" fillId="16" borderId="4" xfId="0" applyFont="1" applyFill="1" applyBorder="1" applyAlignment="1">
      <alignment horizontal="left" vertical="center" wrapText="1"/>
    </xf>
    <xf numFmtId="0" fontId="10" fillId="13" borderId="4" xfId="0" applyFont="1" applyFill="1" applyBorder="1" applyAlignment="1">
      <alignment horizontal="left" vertical="center" wrapText="1"/>
    </xf>
    <xf numFmtId="0" fontId="11" fillId="10" borderId="4" xfId="0" applyFont="1" applyFill="1" applyBorder="1" applyAlignment="1">
      <alignment horizontal="center" vertical="center" wrapText="1"/>
    </xf>
    <xf numFmtId="0" fontId="10" fillId="11" borderId="4" xfId="0" applyFont="1" applyFill="1" applyBorder="1" applyAlignment="1">
      <alignment horizontal="left" vertical="center" wrapText="1"/>
    </xf>
    <xf numFmtId="0" fontId="8" fillId="9" borderId="4" xfId="0" applyFont="1" applyFill="1" applyBorder="1" applyAlignment="1">
      <alignment horizontal="left" vertical="center" wrapText="1"/>
    </xf>
    <xf numFmtId="0" fontId="12" fillId="4" borderId="4" xfId="0" applyFont="1" applyFill="1" applyBorder="1" applyAlignment="1">
      <alignment horizontal="left" vertical="center" wrapText="1"/>
    </xf>
    <xf numFmtId="0" fontId="8" fillId="17" borderId="4" xfId="0" applyFont="1" applyFill="1" applyBorder="1" applyAlignment="1">
      <alignment horizontal="left" vertical="center" wrapText="1"/>
    </xf>
    <xf numFmtId="0" fontId="2" fillId="3" borderId="0" xfId="0" applyFont="1" applyFill="1" applyAlignment="1">
      <alignment vertical="center" wrapText="1"/>
    </xf>
    <xf numFmtId="0" fontId="8" fillId="3" borderId="4" xfId="0" applyFont="1" applyFill="1" applyBorder="1" applyAlignment="1">
      <alignment horizontal="left" vertical="center" wrapText="1"/>
    </xf>
    <xf numFmtId="0" fontId="5" fillId="7" borderId="6" xfId="0" applyFont="1" applyFill="1" applyBorder="1" applyAlignment="1">
      <alignment vertical="center" wrapText="1"/>
    </xf>
    <xf numFmtId="0" fontId="2" fillId="20" borderId="7" xfId="0" applyFont="1" applyFill="1" applyBorder="1" applyAlignment="1">
      <alignment horizontal="center" vertical="center" wrapText="1"/>
    </xf>
    <xf numFmtId="0" fontId="10" fillId="21" borderId="7" xfId="0" applyFont="1" applyFill="1" applyBorder="1" applyAlignment="1">
      <alignment horizontal="center" vertical="top" wrapText="1"/>
    </xf>
    <xf numFmtId="0" fontId="13" fillId="21" borderId="7" xfId="0" applyFont="1" applyFill="1" applyBorder="1" applyAlignment="1">
      <alignment horizontal="left" vertical="top" wrapText="1"/>
    </xf>
    <xf numFmtId="0" fontId="8" fillId="21" borderId="7" xfId="0" applyFont="1" applyFill="1" applyBorder="1" applyAlignment="1">
      <alignment horizontal="left" vertical="top" wrapText="1"/>
    </xf>
    <xf numFmtId="0" fontId="14" fillId="22" borderId="7" xfId="0" applyFont="1" applyFill="1" applyBorder="1" applyAlignment="1">
      <alignment horizontal="left" vertical="top" wrapText="1"/>
    </xf>
    <xf numFmtId="0" fontId="15" fillId="23" borderId="7" xfId="0" applyFont="1" applyFill="1" applyBorder="1" applyAlignment="1">
      <alignment horizontal="left" vertical="top" wrapText="1"/>
    </xf>
    <xf numFmtId="0" fontId="10" fillId="3" borderId="7" xfId="0" applyFont="1" applyFill="1" applyBorder="1" applyAlignment="1">
      <alignment horizontal="center" vertical="top" wrapText="1"/>
    </xf>
    <xf numFmtId="0" fontId="13" fillId="3" borderId="7" xfId="0" applyFont="1" applyFill="1" applyBorder="1" applyAlignment="1">
      <alignment horizontal="left" vertical="top" wrapText="1"/>
    </xf>
    <xf numFmtId="0" fontId="8" fillId="3" borderId="7" xfId="0" applyFont="1" applyFill="1" applyBorder="1" applyAlignment="1">
      <alignment horizontal="left" vertical="top" wrapText="1"/>
    </xf>
    <xf numFmtId="0" fontId="15" fillId="24" borderId="7" xfId="0" applyFont="1" applyFill="1" applyBorder="1" applyAlignment="1">
      <alignment horizontal="left" vertical="top" wrapText="1"/>
    </xf>
    <xf numFmtId="0" fontId="10" fillId="25" borderId="7" xfId="0" applyFont="1" applyFill="1" applyBorder="1" applyAlignment="1">
      <alignment horizontal="center" vertical="top" wrapText="1"/>
    </xf>
    <xf numFmtId="0" fontId="13" fillId="25" borderId="7" xfId="0" applyFont="1" applyFill="1" applyBorder="1" applyAlignment="1">
      <alignment horizontal="left" vertical="top" wrapText="1"/>
    </xf>
    <xf numFmtId="0" fontId="8" fillId="25" borderId="7" xfId="0" applyFont="1" applyFill="1" applyBorder="1" applyAlignment="1">
      <alignment horizontal="left" vertical="top" wrapText="1"/>
    </xf>
    <xf numFmtId="0" fontId="10" fillId="23" borderId="7" xfId="0" applyFont="1" applyFill="1" applyBorder="1" applyAlignment="1">
      <alignment horizontal="center" vertical="top" wrapText="1"/>
    </xf>
    <xf numFmtId="0" fontId="13" fillId="23" borderId="7" xfId="0" applyFont="1" applyFill="1" applyBorder="1" applyAlignment="1">
      <alignment horizontal="left" vertical="top" wrapText="1"/>
    </xf>
    <xf numFmtId="0" fontId="8" fillId="23" borderId="7" xfId="0" applyFont="1" applyFill="1" applyBorder="1" applyAlignment="1">
      <alignment horizontal="left" vertical="top" wrapText="1"/>
    </xf>
    <xf numFmtId="0" fontId="2" fillId="20" borderId="7" xfId="0" applyFont="1" applyFill="1" applyBorder="1" applyAlignment="1">
      <alignment horizontal="center" vertical="top" wrapText="1"/>
    </xf>
    <xf numFmtId="0" fontId="8" fillId="21" borderId="7" xfId="0" applyFont="1" applyFill="1" applyBorder="1" applyAlignment="1">
      <alignment horizontal="center" vertical="top" wrapText="1"/>
    </xf>
    <xf numFmtId="0" fontId="8" fillId="3" borderId="7" xfId="0" applyFont="1" applyFill="1" applyBorder="1" applyAlignment="1">
      <alignment horizontal="center" vertical="top" wrapText="1"/>
    </xf>
    <xf numFmtId="0" fontId="10" fillId="25" borderId="7" xfId="0" applyFont="1" applyFill="1" applyBorder="1" applyAlignment="1">
      <alignment horizontal="left" vertical="top" wrapText="1"/>
    </xf>
    <xf numFmtId="0" fontId="3" fillId="4" borderId="4" xfId="0" applyFont="1" applyFill="1" applyBorder="1" applyAlignment="1">
      <alignment horizontal="center" vertical="center" wrapText="1"/>
    </xf>
    <xf numFmtId="0" fontId="8" fillId="15" borderId="4" xfId="0" applyFont="1" applyFill="1" applyBorder="1" applyAlignment="1">
      <alignment horizontal="left" vertical="center" wrapText="1"/>
    </xf>
    <xf numFmtId="0" fontId="10" fillId="13" borderId="4" xfId="0" applyFont="1" applyFill="1" applyBorder="1" applyAlignment="1">
      <alignment horizontal="center" vertical="center" wrapText="1"/>
    </xf>
    <xf numFmtId="0" fontId="7" fillId="21" borderId="7" xfId="0" applyFont="1" applyFill="1" applyBorder="1" applyAlignment="1">
      <alignment horizontal="left" vertical="top" wrapText="1"/>
    </xf>
    <xf numFmtId="0" fontId="21" fillId="21" borderId="7" xfId="0" applyFont="1" applyFill="1" applyBorder="1" applyAlignment="1">
      <alignment horizontal="center" vertical="center"/>
    </xf>
    <xf numFmtId="0" fontId="13" fillId="21" borderId="7" xfId="0" applyFont="1" applyFill="1" applyBorder="1" applyAlignment="1">
      <alignment horizontal="center" vertical="center"/>
    </xf>
    <xf numFmtId="0" fontId="21" fillId="3" borderId="7" xfId="0" applyFont="1" applyFill="1" applyBorder="1" applyAlignment="1">
      <alignment horizontal="center" vertical="center"/>
    </xf>
    <xf numFmtId="0" fontId="13" fillId="3" borderId="7" xfId="0" applyFont="1" applyFill="1" applyBorder="1" applyAlignment="1">
      <alignment horizontal="center" vertical="center"/>
    </xf>
    <xf numFmtId="0" fontId="13" fillId="28" borderId="7" xfId="0" applyFont="1" applyFill="1" applyBorder="1" applyAlignment="1">
      <alignment horizontal="center" vertical="center"/>
    </xf>
    <xf numFmtId="0" fontId="13" fillId="29" borderId="7" xfId="0" applyFont="1" applyFill="1" applyBorder="1" applyAlignment="1">
      <alignment horizontal="center" vertical="center"/>
    </xf>
    <xf numFmtId="0" fontId="13" fillId="30" borderId="7" xfId="0" applyFont="1" applyFill="1" applyBorder="1" applyAlignment="1">
      <alignment horizontal="center" vertical="center"/>
    </xf>
    <xf numFmtId="0" fontId="21" fillId="31" borderId="7" xfId="0" applyFont="1" applyFill="1" applyBorder="1" applyAlignment="1">
      <alignment horizontal="center" vertical="center"/>
    </xf>
    <xf numFmtId="0" fontId="21" fillId="32" borderId="7" xfId="0" applyFont="1" applyFill="1" applyBorder="1" applyAlignment="1">
      <alignment horizontal="center" vertical="center"/>
    </xf>
    <xf numFmtId="0" fontId="2" fillId="34" borderId="7" xfId="0" applyFont="1" applyFill="1" applyBorder="1" applyAlignment="1">
      <alignment horizontal="center" vertical="center" wrapText="1"/>
    </xf>
    <xf numFmtId="0" fontId="7" fillId="25" borderId="7" xfId="0" applyFont="1" applyFill="1" applyBorder="1" applyAlignment="1">
      <alignment horizontal="center" vertical="top" wrapText="1"/>
    </xf>
    <xf numFmtId="0" fontId="7" fillId="23" borderId="7" xfId="0" applyFont="1" applyFill="1" applyBorder="1" applyAlignment="1">
      <alignment horizontal="center" vertical="top" wrapText="1"/>
    </xf>
    <xf numFmtId="0" fontId="7" fillId="23" borderId="7" xfId="0" applyFont="1" applyFill="1" applyBorder="1" applyAlignment="1">
      <alignment horizontal="left" vertical="top" wrapText="1"/>
    </xf>
    <xf numFmtId="0" fontId="8" fillId="23" borderId="7" xfId="0" applyFont="1" applyFill="1" applyBorder="1" applyAlignment="1">
      <alignment horizontal="center" vertical="top" wrapText="1"/>
    </xf>
    <xf numFmtId="0" fontId="7" fillId="21" borderId="7" xfId="0" applyFont="1" applyFill="1" applyBorder="1" applyAlignment="1">
      <alignment horizontal="center" vertical="top" wrapText="1"/>
    </xf>
    <xf numFmtId="0" fontId="15" fillId="21" borderId="7" xfId="0" applyFont="1" applyFill="1" applyBorder="1" applyAlignment="1">
      <alignment horizontal="left" vertical="top" wrapText="1"/>
    </xf>
    <xf numFmtId="0" fontId="7" fillId="25" borderId="7" xfId="0" applyFont="1" applyFill="1" applyBorder="1" applyAlignment="1">
      <alignment horizontal="left" vertical="top" wrapText="1"/>
    </xf>
    <xf numFmtId="0" fontId="8" fillId="25" borderId="7" xfId="0" applyFont="1" applyFill="1" applyBorder="1" applyAlignment="1">
      <alignment horizontal="center" vertical="top" wrapText="1"/>
    </xf>
    <xf numFmtId="0" fontId="15" fillId="25" borderId="7" xfId="0" applyFont="1" applyFill="1" applyBorder="1" applyAlignment="1">
      <alignment horizontal="left" vertical="top" wrapText="1"/>
    </xf>
    <xf numFmtId="0" fontId="2" fillId="36" borderId="7" xfId="0" applyFont="1" applyFill="1" applyBorder="1" applyAlignment="1">
      <alignment horizontal="center" vertical="top" wrapText="1"/>
    </xf>
    <xf numFmtId="0" fontId="10" fillId="3" borderId="7" xfId="0" applyFont="1" applyFill="1" applyBorder="1" applyAlignment="1">
      <alignment horizontal="left" vertical="top" wrapText="1"/>
    </xf>
    <xf numFmtId="0" fontId="15" fillId="3" borderId="7" xfId="0" applyFont="1" applyFill="1" applyBorder="1" applyAlignment="1">
      <alignment horizontal="left" vertical="top" wrapText="1"/>
    </xf>
    <xf numFmtId="0" fontId="10" fillId="23" borderId="7" xfId="0" applyFont="1" applyFill="1" applyBorder="1" applyAlignment="1">
      <alignment horizontal="left" vertical="top" wrapText="1"/>
    </xf>
    <xf numFmtId="0" fontId="10" fillId="21" borderId="7" xfId="0" applyFont="1" applyFill="1" applyBorder="1" applyAlignment="1">
      <alignment horizontal="left" vertical="top" wrapText="1"/>
    </xf>
    <xf numFmtId="0" fontId="10" fillId="28" borderId="7" xfId="0" applyFont="1" applyFill="1" applyBorder="1" applyAlignment="1">
      <alignment horizontal="left" vertical="top" wrapText="1"/>
    </xf>
    <xf numFmtId="0" fontId="10" fillId="28" borderId="7" xfId="0" applyFont="1" applyFill="1" applyBorder="1" applyAlignment="1">
      <alignment horizontal="center" vertical="top" wrapText="1"/>
    </xf>
    <xf numFmtId="0" fontId="8" fillId="28" borderId="7" xfId="0" applyFont="1" applyFill="1" applyBorder="1" applyAlignment="1">
      <alignment horizontal="center" vertical="top" wrapText="1"/>
    </xf>
    <xf numFmtId="0" fontId="15" fillId="28" borderId="7" xfId="0" applyFont="1" applyFill="1" applyBorder="1" applyAlignment="1">
      <alignment horizontal="left" vertical="top" wrapText="1"/>
    </xf>
    <xf numFmtId="0" fontId="2" fillId="37" borderId="7" xfId="0" applyFont="1" applyFill="1" applyBorder="1" applyAlignment="1">
      <alignment horizontal="center" vertical="top" wrapText="1"/>
    </xf>
    <xf numFmtId="0" fontId="2" fillId="39" borderId="7" xfId="0" applyFont="1" applyFill="1" applyBorder="1" applyAlignment="1">
      <alignment horizontal="center" vertical="top" wrapText="1"/>
    </xf>
    <xf numFmtId="0" fontId="24" fillId="0" borderId="10" xfId="0" applyFont="1" applyBorder="1" applyAlignment="1">
      <alignment horizontal="center" vertical="center" wrapText="1"/>
    </xf>
    <xf numFmtId="0" fontId="0" fillId="0" borderId="0" xfId="0" applyAlignment="1">
      <alignment horizontal="center" vertical="center"/>
    </xf>
    <xf numFmtId="0" fontId="25" fillId="0" borderId="10" xfId="0" applyFont="1" applyBorder="1" applyAlignment="1">
      <alignment horizontal="center" vertical="center" wrapText="1"/>
    </xf>
    <xf numFmtId="0" fontId="25" fillId="50" borderId="10" xfId="0" applyFont="1" applyFill="1" applyBorder="1" applyAlignment="1">
      <alignment horizontal="center" vertical="center" wrapText="1"/>
    </xf>
    <xf numFmtId="0" fontId="25" fillId="50" borderId="0" xfId="0" applyFont="1" applyFill="1" applyAlignment="1">
      <alignment horizontal="center" vertical="center"/>
    </xf>
    <xf numFmtId="0" fontId="26" fillId="50" borderId="10" xfId="0" applyFont="1" applyFill="1" applyBorder="1" applyAlignment="1">
      <alignment horizontal="center" vertical="center" wrapText="1"/>
    </xf>
    <xf numFmtId="0" fontId="5" fillId="2" borderId="3" xfId="0" applyFont="1" applyFill="1" applyBorder="1" applyAlignment="1">
      <alignment horizontal="left" vertical="center" wrapText="1"/>
    </xf>
    <xf numFmtId="0" fontId="4" fillId="6" borderId="3" xfId="0" applyFont="1" applyFill="1" applyBorder="1" applyAlignment="1">
      <alignment horizontal="left" vertical="center" wrapText="1"/>
    </xf>
    <xf numFmtId="0" fontId="3" fillId="5" borderId="2" xfId="0" applyFont="1" applyFill="1" applyBorder="1" applyAlignment="1">
      <alignment horizontal="center" vertical="center" wrapText="1"/>
    </xf>
    <xf numFmtId="0" fontId="16" fillId="27" borderId="8" xfId="0" applyFont="1" applyFill="1" applyBorder="1" applyAlignment="1">
      <alignment horizontal="left" vertical="center" wrapText="1"/>
    </xf>
    <xf numFmtId="0" fontId="16" fillId="18" borderId="7" xfId="0" applyFont="1" applyFill="1" applyBorder="1" applyAlignment="1">
      <alignment horizontal="left" vertical="center" wrapText="1"/>
    </xf>
    <xf numFmtId="0" fontId="22" fillId="22" borderId="7" xfId="0" applyFont="1" applyFill="1" applyBorder="1" applyAlignment="1">
      <alignment horizontal="left" vertical="top" wrapText="1"/>
    </xf>
    <xf numFmtId="0" fontId="8" fillId="44" borderId="7" xfId="0" applyFont="1" applyFill="1" applyBorder="1" applyAlignment="1">
      <alignment horizontal="left" vertical="top" wrapText="1"/>
    </xf>
    <xf numFmtId="0" fontId="10" fillId="6" borderId="7" xfId="0" applyFont="1" applyFill="1" applyBorder="1" applyAlignment="1">
      <alignment horizontal="left" vertical="top" wrapText="1"/>
    </xf>
    <xf numFmtId="0" fontId="10" fillId="45" borderId="7" xfId="0" applyFont="1" applyFill="1" applyBorder="1" applyAlignment="1">
      <alignment horizontal="left" vertical="top" wrapText="1"/>
    </xf>
    <xf numFmtId="0" fontId="8" fillId="46" borderId="7" xfId="0" applyFont="1" applyFill="1" applyBorder="1" applyAlignment="1">
      <alignment horizontal="left" vertical="top" wrapText="1"/>
    </xf>
    <xf numFmtId="0" fontId="23" fillId="43" borderId="7" xfId="0" applyFont="1" applyFill="1" applyBorder="1" applyAlignment="1">
      <alignment horizontal="left" vertical="center" wrapText="1"/>
    </xf>
    <xf numFmtId="0" fontId="2" fillId="42" borderId="7" xfId="0" applyFont="1" applyFill="1" applyBorder="1" applyAlignment="1">
      <alignment horizontal="center" vertical="top" wrapText="1"/>
    </xf>
    <xf numFmtId="0" fontId="0" fillId="0" borderId="0" xfId="0" applyAlignment="1">
      <alignment horizontal="center"/>
    </xf>
    <xf numFmtId="0" fontId="0" fillId="0" borderId="0" xfId="0" applyAlignment="1">
      <alignment vertical="center"/>
    </xf>
    <xf numFmtId="0" fontId="27" fillId="51" borderId="4"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0" fillId="0" borderId="0" xfId="0" applyAlignment="1">
      <alignment horizontal="left" vertical="center"/>
    </xf>
    <xf numFmtId="0" fontId="28" fillId="52" borderId="4" xfId="0" applyFont="1" applyFill="1" applyBorder="1" applyAlignment="1">
      <alignment horizontal="left" vertical="center" wrapText="1"/>
    </xf>
    <xf numFmtId="0" fontId="22" fillId="22" borderId="8" xfId="0" applyFont="1" applyFill="1" applyBorder="1" applyAlignment="1">
      <alignment horizontal="left" vertical="center" wrapText="1"/>
    </xf>
    <xf numFmtId="0" fontId="19" fillId="21" borderId="7" xfId="0" applyFont="1" applyFill="1" applyBorder="1" applyAlignment="1">
      <alignment horizontal="center" vertical="center" wrapText="1"/>
    </xf>
    <xf numFmtId="0" fontId="7" fillId="25" borderId="7" xfId="0" applyFont="1" applyFill="1" applyBorder="1" applyAlignment="1">
      <alignment horizontal="center" vertical="center" wrapText="1"/>
    </xf>
    <xf numFmtId="0" fontId="19" fillId="25" borderId="7" xfId="0" applyFont="1" applyFill="1" applyBorder="1" applyAlignment="1">
      <alignment horizontal="center" vertical="center" wrapText="1"/>
    </xf>
    <xf numFmtId="0" fontId="19" fillId="3" borderId="7" xfId="0" applyFont="1" applyFill="1" applyBorder="1" applyAlignment="1">
      <alignment horizontal="center" vertical="center" wrapText="1"/>
    </xf>
    <xf numFmtId="0" fontId="3" fillId="20" borderId="10" xfId="0" applyFont="1" applyFill="1" applyBorder="1" applyAlignment="1">
      <alignment horizontal="center" vertical="center" wrapText="1"/>
    </xf>
    <xf numFmtId="0" fontId="0" fillId="0" borderId="10" xfId="0" applyBorder="1" applyAlignment="1">
      <alignment vertical="center"/>
    </xf>
    <xf numFmtId="0" fontId="7" fillId="21" borderId="10" xfId="0" applyFont="1" applyFill="1" applyBorder="1" applyAlignment="1">
      <alignment horizontal="left" vertical="center" wrapText="1"/>
    </xf>
    <xf numFmtId="0" fontId="7" fillId="3" borderId="10" xfId="0" applyFont="1" applyFill="1" applyBorder="1" applyAlignment="1">
      <alignment horizontal="left" vertical="center" wrapText="1"/>
    </xf>
    <xf numFmtId="0" fontId="2" fillId="47" borderId="10" xfId="0" applyFont="1" applyFill="1" applyBorder="1" applyAlignment="1">
      <alignment horizontal="center" vertical="top" wrapText="1"/>
    </xf>
    <xf numFmtId="0" fontId="7" fillId="21" borderId="10" xfId="0" applyFont="1" applyFill="1" applyBorder="1" applyAlignment="1">
      <alignment horizontal="center" vertical="top" wrapText="1"/>
    </xf>
    <xf numFmtId="0" fontId="13" fillId="21" borderId="10" xfId="0" applyFont="1" applyFill="1" applyBorder="1" applyAlignment="1">
      <alignment horizontal="center" vertical="top" wrapText="1"/>
    </xf>
    <xf numFmtId="0" fontId="7" fillId="3" borderId="10" xfId="0" applyFont="1" applyFill="1" applyBorder="1" applyAlignment="1">
      <alignment horizontal="center" vertical="top" wrapText="1"/>
    </xf>
    <xf numFmtId="0" fontId="13" fillId="3" borderId="10" xfId="0" applyFont="1" applyFill="1" applyBorder="1" applyAlignment="1">
      <alignment horizontal="center" vertical="top" wrapText="1"/>
    </xf>
    <xf numFmtId="0" fontId="7" fillId="48" borderId="10" xfId="0" applyFont="1" applyFill="1" applyBorder="1" applyAlignment="1">
      <alignment horizontal="center" vertical="top" wrapText="1"/>
    </xf>
    <xf numFmtId="0" fontId="13" fillId="48" borderId="10" xfId="0" applyFont="1" applyFill="1" applyBorder="1" applyAlignment="1">
      <alignment horizontal="center" vertical="top" wrapText="1"/>
    </xf>
    <xf numFmtId="0" fontId="22" fillId="49" borderId="10" xfId="0" applyFont="1" applyFill="1" applyBorder="1" applyAlignment="1">
      <alignment horizontal="left" vertical="top" wrapText="1"/>
    </xf>
    <xf numFmtId="0" fontId="0" fillId="0" borderId="10" xfId="0" applyBorder="1"/>
    <xf numFmtId="0" fontId="2" fillId="34" borderId="10" xfId="0" applyFont="1" applyFill="1" applyBorder="1" applyAlignment="1">
      <alignment horizontal="center" vertical="top" wrapText="1"/>
    </xf>
    <xf numFmtId="0" fontId="11" fillId="25" borderId="10" xfId="0" applyFont="1" applyFill="1" applyBorder="1" applyAlignment="1">
      <alignment horizontal="center" vertical="top" wrapText="1"/>
    </xf>
    <xf numFmtId="0" fontId="21" fillId="25" borderId="10" xfId="0" applyFont="1" applyFill="1" applyBorder="1" applyAlignment="1">
      <alignment horizontal="left" vertical="top" wrapText="1"/>
    </xf>
    <xf numFmtId="0" fontId="8" fillId="25" borderId="10" xfId="0" applyFont="1" applyFill="1" applyBorder="1" applyAlignment="1">
      <alignment horizontal="center" vertical="top" wrapText="1"/>
    </xf>
    <xf numFmtId="0" fontId="11" fillId="23" borderId="10" xfId="0" applyFont="1" applyFill="1" applyBorder="1" applyAlignment="1">
      <alignment horizontal="center" vertical="top" wrapText="1"/>
    </xf>
    <xf numFmtId="0" fontId="21" fillId="23" borderId="10" xfId="0" applyFont="1" applyFill="1" applyBorder="1" applyAlignment="1">
      <alignment horizontal="left" vertical="top" wrapText="1"/>
    </xf>
    <xf numFmtId="0" fontId="8" fillId="23" borderId="10" xfId="0" applyFont="1" applyFill="1" applyBorder="1" applyAlignment="1">
      <alignment horizontal="center" vertical="top" wrapText="1"/>
    </xf>
    <xf numFmtId="0" fontId="11" fillId="21" borderId="10" xfId="0" applyFont="1" applyFill="1" applyBorder="1" applyAlignment="1">
      <alignment horizontal="center" vertical="top" wrapText="1"/>
    </xf>
    <xf numFmtId="0" fontId="21" fillId="21" borderId="10" xfId="0" applyFont="1" applyFill="1" applyBorder="1" applyAlignment="1">
      <alignment horizontal="left" vertical="top" wrapText="1"/>
    </xf>
    <xf numFmtId="0" fontId="8" fillId="21" borderId="10" xfId="0" applyFont="1" applyFill="1" applyBorder="1" applyAlignment="1">
      <alignment horizontal="center" vertical="top" wrapText="1"/>
    </xf>
    <xf numFmtId="0" fontId="11" fillId="28" borderId="10" xfId="0" applyFont="1" applyFill="1" applyBorder="1" applyAlignment="1">
      <alignment horizontal="center" vertical="top" wrapText="1"/>
    </xf>
    <xf numFmtId="0" fontId="21" fillId="28" borderId="10" xfId="0" applyFont="1" applyFill="1" applyBorder="1" applyAlignment="1">
      <alignment horizontal="left" vertical="top" wrapText="1"/>
    </xf>
    <xf numFmtId="0" fontId="8" fillId="28" borderId="10" xfId="0" applyFont="1" applyFill="1" applyBorder="1" applyAlignment="1">
      <alignment horizontal="center" vertical="top" wrapText="1"/>
    </xf>
    <xf numFmtId="0" fontId="11" fillId="3" borderId="10" xfId="0" applyFont="1" applyFill="1" applyBorder="1" applyAlignment="1">
      <alignment horizontal="center" vertical="top" wrapText="1"/>
    </xf>
    <xf numFmtId="0" fontId="21" fillId="3" borderId="10" xfId="0" applyFont="1" applyFill="1" applyBorder="1" applyAlignment="1">
      <alignment horizontal="left" vertical="top" wrapText="1"/>
    </xf>
    <xf numFmtId="0" fontId="8" fillId="3" borderId="10" xfId="0" applyFont="1" applyFill="1" applyBorder="1" applyAlignment="1">
      <alignment horizontal="center" vertical="top" wrapText="1"/>
    </xf>
    <xf numFmtId="0" fontId="2" fillId="4" borderId="0" xfId="0" applyFont="1" applyFill="1" applyAlignment="1">
      <alignment horizontal="center" vertical="center" wrapText="1"/>
    </xf>
    <xf numFmtId="0" fontId="1" fillId="14" borderId="15" xfId="0" applyFont="1" applyFill="1" applyBorder="1" applyAlignment="1">
      <alignment horizontal="center" vertical="center" wrapText="1"/>
    </xf>
    <xf numFmtId="0" fontId="1" fillId="14" borderId="0" xfId="0" applyFont="1" applyFill="1" applyAlignment="1">
      <alignment horizontal="center" vertical="center" wrapText="1"/>
    </xf>
    <xf numFmtId="0" fontId="2" fillId="2" borderId="0" xfId="0" applyFont="1" applyFill="1" applyAlignment="1">
      <alignment horizontal="center" vertical="center" wrapText="1"/>
    </xf>
    <xf numFmtId="0" fontId="5" fillId="7" borderId="0" xfId="0" applyFont="1" applyFill="1" applyAlignment="1">
      <alignment horizontal="left" vertical="center" wrapText="1"/>
    </xf>
    <xf numFmtId="0" fontId="5" fillId="7" borderId="5" xfId="0" applyFont="1" applyFill="1" applyBorder="1" applyAlignment="1">
      <alignment horizontal="left" vertical="center" wrapText="1"/>
    </xf>
    <xf numFmtId="0" fontId="1" fillId="2" borderId="15"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23" xfId="0" applyFont="1" applyFill="1" applyBorder="1" applyAlignment="1">
      <alignment horizontal="center" vertical="center" wrapText="1"/>
    </xf>
    <xf numFmtId="0" fontId="2" fillId="4" borderId="24" xfId="0" applyFont="1" applyFill="1" applyBorder="1" applyAlignment="1">
      <alignment horizontal="center" vertical="center" wrapText="1"/>
    </xf>
    <xf numFmtId="0" fontId="16" fillId="26" borderId="12" xfId="0" applyFont="1" applyFill="1" applyBorder="1" applyAlignment="1">
      <alignment horizontal="center" vertical="center" wrapText="1"/>
    </xf>
    <xf numFmtId="0" fontId="16" fillId="26" borderId="13" xfId="0" applyFont="1" applyFill="1" applyBorder="1" applyAlignment="1">
      <alignment horizontal="center" vertical="center" wrapText="1"/>
    </xf>
    <xf numFmtId="0" fontId="1" fillId="18" borderId="14" xfId="0" applyFont="1" applyFill="1" applyBorder="1" applyAlignment="1">
      <alignment horizontal="center" vertical="center" wrapText="1"/>
    </xf>
    <xf numFmtId="0" fontId="1" fillId="18" borderId="0" xfId="0" applyFont="1" applyFill="1" applyAlignment="1">
      <alignment horizontal="center" vertical="center" wrapText="1"/>
    </xf>
    <xf numFmtId="0" fontId="8" fillId="19" borderId="12" xfId="0" applyFont="1" applyFill="1" applyBorder="1" applyAlignment="1">
      <alignment horizontal="center" vertical="center" wrapText="1"/>
    </xf>
    <xf numFmtId="0" fontId="8" fillId="19" borderId="13" xfId="0" applyFont="1" applyFill="1" applyBorder="1" applyAlignment="1">
      <alignment horizontal="center" vertical="center" wrapText="1"/>
    </xf>
    <xf numFmtId="0" fontId="29" fillId="53" borderId="15" xfId="0" applyFont="1" applyFill="1" applyBorder="1" applyAlignment="1">
      <alignment horizontal="center" vertical="center" wrapText="1"/>
    </xf>
    <xf numFmtId="0" fontId="29" fillId="53" borderId="0" xfId="0" applyFont="1" applyFill="1" applyAlignment="1">
      <alignment horizontal="center" vertical="center" wrapText="1"/>
    </xf>
    <xf numFmtId="0" fontId="2" fillId="34" borderId="0" xfId="0" applyFont="1" applyFill="1" applyAlignment="1">
      <alignment horizontal="center" vertical="center" wrapText="1"/>
    </xf>
    <xf numFmtId="0" fontId="22" fillId="22" borderId="14" xfId="0" applyFont="1" applyFill="1" applyBorder="1" applyAlignment="1">
      <alignment horizontal="center" vertical="center" wrapText="1"/>
    </xf>
    <xf numFmtId="0" fontId="22" fillId="22" borderId="0" xfId="0" applyFont="1" applyFill="1" applyAlignment="1">
      <alignment horizontal="center" vertical="center" wrapText="1"/>
    </xf>
    <xf numFmtId="0" fontId="7" fillId="33" borderId="14" xfId="0" applyFont="1" applyFill="1" applyBorder="1" applyAlignment="1">
      <alignment horizontal="center" vertical="center" wrapText="1"/>
    </xf>
    <xf numFmtId="0" fontId="7" fillId="33" borderId="0" xfId="0" applyFont="1" applyFill="1" applyAlignment="1">
      <alignment horizontal="center" vertical="center" wrapText="1"/>
    </xf>
    <xf numFmtId="0" fontId="8" fillId="23" borderId="14" xfId="0" applyFont="1" applyFill="1" applyBorder="1" applyAlignment="1">
      <alignment horizontal="center" vertical="center" wrapText="1"/>
    </xf>
    <xf numFmtId="0" fontId="8" fillId="23" borderId="0" xfId="0" applyFont="1" applyFill="1" applyAlignment="1">
      <alignment horizontal="center" vertical="center" wrapText="1"/>
    </xf>
    <xf numFmtId="0" fontId="7" fillId="24" borderId="14" xfId="0" applyFont="1" applyFill="1" applyBorder="1" applyAlignment="1">
      <alignment horizontal="center" vertical="center" wrapText="1"/>
    </xf>
    <xf numFmtId="0" fontId="7" fillId="24" borderId="0" xfId="0" applyFont="1" applyFill="1" applyAlignment="1">
      <alignment horizontal="center" vertical="center" wrapText="1"/>
    </xf>
    <xf numFmtId="0" fontId="8" fillId="3" borderId="14" xfId="0" applyFont="1" applyFill="1" applyBorder="1" applyAlignment="1">
      <alignment horizontal="center" vertical="center" wrapText="1"/>
    </xf>
    <xf numFmtId="0" fontId="8" fillId="3" borderId="0" xfId="0" applyFont="1" applyFill="1" applyAlignment="1">
      <alignment horizontal="center" vertical="center" wrapText="1"/>
    </xf>
    <xf numFmtId="0" fontId="19" fillId="21" borderId="0" xfId="0" applyFont="1" applyFill="1" applyAlignment="1">
      <alignment horizontal="center" vertical="center" wrapText="1"/>
    </xf>
    <xf numFmtId="0" fontId="20" fillId="3" borderId="0" xfId="0" applyFont="1" applyFill="1" applyAlignment="1">
      <alignment horizontal="center" vertical="center" wrapText="1"/>
    </xf>
    <xf numFmtId="0" fontId="20" fillId="21" borderId="0" xfId="0" applyFont="1" applyFill="1" applyAlignment="1">
      <alignment horizontal="center" vertical="center" wrapText="1"/>
    </xf>
    <xf numFmtId="0" fontId="20" fillId="25" borderId="0" xfId="0" applyFont="1" applyFill="1" applyAlignment="1">
      <alignment horizontal="center" vertical="center" wrapText="1"/>
    </xf>
    <xf numFmtId="0" fontId="16" fillId="27" borderId="14" xfId="0" applyFont="1" applyFill="1" applyBorder="1" applyAlignment="1">
      <alignment horizontal="center" vertical="center" wrapText="1"/>
    </xf>
    <xf numFmtId="0" fontId="16" fillId="27" borderId="0" xfId="0" applyFont="1" applyFill="1" applyAlignment="1">
      <alignment horizontal="center" vertical="center" wrapText="1"/>
    </xf>
    <xf numFmtId="0" fontId="15" fillId="23" borderId="16" xfId="0" applyFont="1" applyFill="1" applyBorder="1" applyAlignment="1">
      <alignment horizontal="center" vertical="center" wrapText="1"/>
    </xf>
    <xf numFmtId="0" fontId="15" fillId="23" borderId="11" xfId="0" applyFont="1" applyFill="1" applyBorder="1" applyAlignment="1">
      <alignment horizontal="center" vertical="center" wrapText="1"/>
    </xf>
    <xf numFmtId="0" fontId="19" fillId="3" borderId="14" xfId="0" applyFont="1" applyFill="1" applyBorder="1" applyAlignment="1">
      <alignment horizontal="center" vertical="center" wrapText="1"/>
    </xf>
    <xf numFmtId="0" fontId="19" fillId="3" borderId="0" xfId="0" applyFont="1" applyFill="1" applyAlignment="1">
      <alignment horizontal="center" vertical="center" wrapText="1"/>
    </xf>
    <xf numFmtId="0" fontId="19" fillId="21" borderId="14" xfId="0" applyFont="1" applyFill="1" applyBorder="1" applyAlignment="1">
      <alignment horizontal="center" vertical="center" wrapText="1"/>
    </xf>
    <xf numFmtId="0" fontId="19" fillId="25" borderId="14" xfId="0" applyFont="1" applyFill="1" applyBorder="1" applyAlignment="1">
      <alignment horizontal="center" vertical="center" wrapText="1"/>
    </xf>
    <xf numFmtId="0" fontId="19" fillId="25" borderId="0" xfId="0" applyFont="1" applyFill="1" applyAlignment="1">
      <alignment horizontal="center" vertical="center" wrapText="1"/>
    </xf>
    <xf numFmtId="0" fontId="2" fillId="34" borderId="14" xfId="0" applyFont="1" applyFill="1" applyBorder="1" applyAlignment="1">
      <alignment horizontal="center" vertical="center" wrapText="1"/>
    </xf>
    <xf numFmtId="0" fontId="7" fillId="25" borderId="0" xfId="0" applyFont="1" applyFill="1" applyAlignment="1">
      <alignment horizontal="center" vertical="center" wrapText="1"/>
    </xf>
    <xf numFmtId="0" fontId="19" fillId="28" borderId="10" xfId="0" applyFont="1" applyFill="1" applyBorder="1" applyAlignment="1">
      <alignment horizontal="center" vertical="center" wrapText="1"/>
    </xf>
    <xf numFmtId="0" fontId="20" fillId="21" borderId="10" xfId="0" applyFont="1" applyFill="1" applyBorder="1" applyAlignment="1">
      <alignment horizontal="center" vertical="center" wrapText="1"/>
    </xf>
    <xf numFmtId="0" fontId="20" fillId="3" borderId="10" xfId="0" applyFont="1" applyFill="1" applyBorder="1" applyAlignment="1">
      <alignment horizontal="center" vertical="center" wrapText="1"/>
    </xf>
    <xf numFmtId="0" fontId="3" fillId="20" borderId="10" xfId="0" applyFont="1" applyFill="1" applyBorder="1" applyAlignment="1">
      <alignment horizontal="center" vertical="center" wrapText="1"/>
    </xf>
    <xf numFmtId="0" fontId="16" fillId="27" borderId="12" xfId="0" applyFont="1" applyFill="1" applyBorder="1" applyAlignment="1">
      <alignment horizontal="center" vertical="center" wrapText="1"/>
    </xf>
    <xf numFmtId="0" fontId="16" fillId="27" borderId="13" xfId="0" applyFont="1" applyFill="1" applyBorder="1" applyAlignment="1">
      <alignment horizontal="center" vertical="center" wrapText="1"/>
    </xf>
    <xf numFmtId="0" fontId="18" fillId="26" borderId="14" xfId="0" applyFont="1" applyFill="1" applyBorder="1" applyAlignment="1">
      <alignment horizontal="center" vertical="center" wrapText="1"/>
    </xf>
    <xf numFmtId="0" fontId="18" fillId="26" borderId="0" xfId="0" applyFont="1" applyFill="1" applyAlignment="1">
      <alignment horizontal="center" vertical="center" wrapText="1"/>
    </xf>
    <xf numFmtId="0" fontId="19" fillId="19" borderId="14" xfId="0" applyFont="1" applyFill="1" applyBorder="1" applyAlignment="1">
      <alignment horizontal="center" vertical="center" wrapText="1"/>
    </xf>
    <xf numFmtId="0" fontId="19" fillId="19" borderId="0" xfId="0" applyFont="1" applyFill="1" applyAlignment="1">
      <alignment horizontal="center" vertical="center" wrapText="1"/>
    </xf>
    <xf numFmtId="0" fontId="19" fillId="25" borderId="10" xfId="0" applyFont="1" applyFill="1" applyBorder="1" applyAlignment="1">
      <alignment horizontal="center" vertical="center" wrapText="1"/>
    </xf>
    <xf numFmtId="0" fontId="0" fillId="0" borderId="0" xfId="0" applyAlignment="1">
      <alignment horizontal="left" wrapText="1"/>
    </xf>
    <xf numFmtId="0" fontId="16" fillId="41" borderId="21" xfId="0" applyFont="1" applyFill="1" applyBorder="1" applyAlignment="1">
      <alignment horizontal="center" vertical="center" wrapText="1"/>
    </xf>
    <xf numFmtId="0" fontId="16" fillId="41" borderId="22" xfId="0" applyFont="1" applyFill="1" applyBorder="1" applyAlignment="1">
      <alignment horizontal="center" vertical="center" wrapText="1"/>
    </xf>
    <xf numFmtId="0" fontId="8" fillId="21" borderId="14" xfId="0" applyFont="1" applyFill="1" applyBorder="1" applyAlignment="1">
      <alignment horizontal="center" vertical="top" wrapText="1"/>
    </xf>
    <xf numFmtId="0" fontId="8" fillId="21" borderId="17" xfId="0" applyFont="1" applyFill="1" applyBorder="1" applyAlignment="1">
      <alignment horizontal="center" vertical="top" wrapText="1"/>
    </xf>
    <xf numFmtId="0" fontId="8" fillId="25" borderId="14" xfId="0" applyFont="1" applyFill="1" applyBorder="1" applyAlignment="1">
      <alignment horizontal="center" vertical="top" wrapText="1"/>
    </xf>
    <xf numFmtId="0" fontId="8" fillId="25" borderId="17" xfId="0" applyFont="1" applyFill="1" applyBorder="1" applyAlignment="1">
      <alignment horizontal="center" vertical="top" wrapText="1"/>
    </xf>
    <xf numFmtId="0" fontId="8" fillId="23" borderId="14" xfId="0" applyFont="1" applyFill="1" applyBorder="1" applyAlignment="1">
      <alignment horizontal="center" vertical="top" wrapText="1"/>
    </xf>
    <xf numFmtId="0" fontId="8" fillId="23" borderId="17" xfId="0" applyFont="1" applyFill="1" applyBorder="1" applyAlignment="1">
      <alignment horizontal="center" vertical="top" wrapText="1"/>
    </xf>
    <xf numFmtId="0" fontId="8" fillId="3" borderId="14" xfId="0" applyFont="1" applyFill="1" applyBorder="1" applyAlignment="1">
      <alignment horizontal="center" vertical="top" wrapText="1"/>
    </xf>
    <xf numFmtId="0" fontId="8" fillId="3" borderId="17" xfId="0" applyFont="1" applyFill="1" applyBorder="1" applyAlignment="1">
      <alignment horizontal="center" vertical="top" wrapText="1"/>
    </xf>
    <xf numFmtId="0" fontId="2" fillId="42" borderId="14" xfId="0" applyFont="1" applyFill="1" applyBorder="1" applyAlignment="1">
      <alignment horizontal="center" vertical="top" wrapText="1"/>
    </xf>
    <xf numFmtId="0" fontId="2" fillId="42" borderId="17" xfId="0" applyFont="1" applyFill="1" applyBorder="1" applyAlignment="1">
      <alignment horizontal="center" vertical="top" wrapText="1"/>
    </xf>
    <xf numFmtId="0" fontId="15" fillId="21" borderId="14" xfId="0" applyFont="1" applyFill="1" applyBorder="1" applyAlignment="1">
      <alignment horizontal="center" vertical="top" wrapText="1"/>
    </xf>
    <xf numFmtId="0" fontId="15" fillId="21" borderId="17" xfId="0" applyFont="1" applyFill="1" applyBorder="1" applyAlignment="1">
      <alignment horizontal="center" vertical="top" wrapText="1"/>
    </xf>
    <xf numFmtId="0" fontId="15" fillId="25" borderId="14" xfId="0" applyFont="1" applyFill="1" applyBorder="1" applyAlignment="1">
      <alignment horizontal="center" vertical="top" wrapText="1"/>
    </xf>
    <xf numFmtId="0" fontId="15" fillId="25" borderId="17" xfId="0" applyFont="1" applyFill="1" applyBorder="1" applyAlignment="1">
      <alignment horizontal="center" vertical="top" wrapText="1"/>
    </xf>
    <xf numFmtId="0" fontId="15" fillId="23" borderId="14" xfId="0" applyFont="1" applyFill="1" applyBorder="1" applyAlignment="1">
      <alignment horizontal="center" vertical="top" wrapText="1"/>
    </xf>
    <xf numFmtId="0" fontId="15" fillId="23" borderId="17" xfId="0" applyFont="1" applyFill="1" applyBorder="1" applyAlignment="1">
      <alignment horizontal="center" vertical="top" wrapText="1"/>
    </xf>
    <xf numFmtId="0" fontId="15" fillId="3" borderId="14" xfId="0" applyFont="1" applyFill="1" applyBorder="1" applyAlignment="1">
      <alignment horizontal="center" vertical="top" wrapText="1"/>
    </xf>
    <xf numFmtId="0" fontId="15" fillId="3" borderId="17" xfId="0" applyFont="1" applyFill="1" applyBorder="1" applyAlignment="1">
      <alignment horizontal="center" vertical="top" wrapText="1"/>
    </xf>
    <xf numFmtId="0" fontId="8" fillId="3" borderId="10" xfId="0" applyFont="1" applyFill="1" applyBorder="1" applyAlignment="1">
      <alignment horizontal="center" vertical="top" wrapText="1"/>
    </xf>
    <xf numFmtId="0" fontId="8" fillId="28" borderId="10" xfId="0" applyFont="1" applyFill="1" applyBorder="1" applyAlignment="1">
      <alignment horizontal="center" vertical="top" wrapText="1"/>
    </xf>
    <xf numFmtId="0" fontId="8" fillId="23" borderId="10" xfId="0" applyFont="1" applyFill="1" applyBorder="1" applyAlignment="1">
      <alignment horizontal="center" vertical="top" wrapText="1"/>
    </xf>
    <xf numFmtId="0" fontId="8" fillId="25" borderId="10" xfId="0" applyFont="1" applyFill="1" applyBorder="1" applyAlignment="1">
      <alignment horizontal="center" vertical="top" wrapText="1"/>
    </xf>
    <xf numFmtId="0" fontId="8" fillId="21" borderId="10" xfId="0" applyFont="1" applyFill="1" applyBorder="1" applyAlignment="1">
      <alignment horizontal="center" vertical="top" wrapText="1"/>
    </xf>
    <xf numFmtId="0" fontId="2" fillId="34" borderId="10" xfId="0" applyFont="1" applyFill="1" applyBorder="1" applyAlignment="1">
      <alignment horizontal="center" vertical="top" wrapText="1"/>
    </xf>
    <xf numFmtId="0" fontId="16" fillId="40" borderId="18" xfId="0" applyFont="1" applyFill="1" applyBorder="1" applyAlignment="1">
      <alignment horizontal="center" vertical="center" wrapText="1"/>
    </xf>
    <xf numFmtId="0" fontId="16" fillId="40" borderId="19" xfId="0" applyFont="1" applyFill="1" applyBorder="1" applyAlignment="1">
      <alignment horizontal="center" vertical="center" wrapText="1"/>
    </xf>
    <xf numFmtId="0" fontId="16" fillId="40" borderId="20" xfId="0" applyFont="1" applyFill="1" applyBorder="1" applyAlignment="1">
      <alignment horizontal="center" vertical="center" wrapText="1"/>
    </xf>
    <xf numFmtId="0" fontId="2" fillId="47" borderId="10" xfId="0" applyFont="1" applyFill="1" applyBorder="1" applyAlignment="1">
      <alignment horizontal="center" vertical="top" wrapText="1"/>
    </xf>
    <xf numFmtId="0" fontId="20" fillId="3" borderId="10" xfId="0" applyFont="1" applyFill="1" applyBorder="1" applyAlignment="1">
      <alignment horizontal="center" vertical="top" wrapText="1"/>
    </xf>
    <xf numFmtId="0" fontId="20" fillId="21" borderId="10" xfId="0" applyFont="1" applyFill="1" applyBorder="1" applyAlignment="1">
      <alignment horizontal="center" vertical="top" wrapText="1"/>
    </xf>
    <xf numFmtId="0" fontId="20" fillId="48" borderId="10" xfId="0" applyFont="1" applyFill="1" applyBorder="1" applyAlignment="1">
      <alignment horizontal="center" vertical="top" wrapText="1"/>
    </xf>
    <xf numFmtId="0" fontId="16" fillId="47" borderId="14" xfId="0" applyFont="1" applyFill="1" applyBorder="1" applyAlignment="1">
      <alignment horizontal="center" vertical="top" wrapText="1"/>
    </xf>
    <xf numFmtId="0" fontId="16" fillId="47" borderId="0" xfId="0" applyFont="1" applyFill="1" applyAlignment="1">
      <alignment horizontal="center" vertical="top" wrapText="1"/>
    </xf>
    <xf numFmtId="0" fontId="8" fillId="45" borderId="14" xfId="0" applyFont="1" applyFill="1" applyBorder="1" applyAlignment="1">
      <alignment horizontal="center" vertical="top" wrapText="1"/>
    </xf>
    <xf numFmtId="0" fontId="8" fillId="45" borderId="0" xfId="0" applyFont="1" applyFill="1" applyAlignment="1">
      <alignment horizontal="center" vertical="top" wrapText="1"/>
    </xf>
    <xf numFmtId="0" fontId="19" fillId="3" borderId="10" xfId="0" applyFont="1" applyFill="1" applyBorder="1" applyAlignment="1">
      <alignment horizontal="center" vertical="top" wrapText="1"/>
    </xf>
    <xf numFmtId="0" fontId="19" fillId="21" borderId="10" xfId="0" applyFont="1" applyFill="1" applyBorder="1" applyAlignment="1">
      <alignment horizontal="center" vertical="top" wrapText="1"/>
    </xf>
    <xf numFmtId="0" fontId="19" fillId="48" borderId="10" xfId="0" applyFont="1" applyFill="1" applyBorder="1" applyAlignment="1">
      <alignment horizontal="center" vertical="top" wrapText="1"/>
    </xf>
    <xf numFmtId="0" fontId="2" fillId="37" borderId="14" xfId="0" applyFont="1" applyFill="1" applyBorder="1" applyAlignment="1">
      <alignment horizontal="center" vertical="top" wrapText="1"/>
    </xf>
    <xf numFmtId="0" fontId="2" fillId="37" borderId="17" xfId="0" applyFont="1" applyFill="1" applyBorder="1" applyAlignment="1">
      <alignment horizontal="center" vertical="top" wrapText="1"/>
    </xf>
    <xf numFmtId="0" fontId="17" fillId="28" borderId="14" xfId="0" applyFont="1" applyFill="1" applyBorder="1" applyAlignment="1">
      <alignment horizontal="center" vertical="top" wrapText="1"/>
    </xf>
    <xf numFmtId="0" fontId="17" fillId="28" borderId="0" xfId="0" applyFont="1" applyFill="1" applyAlignment="1">
      <alignment horizontal="center" vertical="top" wrapText="1"/>
    </xf>
    <xf numFmtId="0" fontId="16" fillId="39" borderId="14" xfId="0" applyFont="1" applyFill="1" applyBorder="1" applyAlignment="1">
      <alignment horizontal="center" vertical="center" wrapText="1"/>
    </xf>
    <xf numFmtId="0" fontId="16" fillId="39" borderId="0" xfId="0" applyFont="1" applyFill="1" applyAlignment="1">
      <alignment horizontal="center" vertical="center" wrapText="1"/>
    </xf>
    <xf numFmtId="0" fontId="2" fillId="39" borderId="14" xfId="0" applyFont="1" applyFill="1" applyBorder="1" applyAlignment="1">
      <alignment horizontal="center" vertical="top" wrapText="1"/>
    </xf>
    <xf numFmtId="0" fontId="2" fillId="39" borderId="17" xfId="0" applyFont="1" applyFill="1" applyBorder="1" applyAlignment="1">
      <alignment horizontal="center" vertical="top" wrapText="1"/>
    </xf>
    <xf numFmtId="0" fontId="19" fillId="19" borderId="14" xfId="0" applyFont="1" applyFill="1" applyBorder="1" applyAlignment="1">
      <alignment horizontal="center" vertical="top" wrapText="1"/>
    </xf>
    <xf numFmtId="0" fontId="19" fillId="19" borderId="0" xfId="0" applyFont="1" applyFill="1" applyAlignment="1">
      <alignment horizontal="center" vertical="top" wrapText="1"/>
    </xf>
    <xf numFmtId="0" fontId="18" fillId="18" borderId="14" xfId="0" applyFont="1" applyFill="1" applyBorder="1" applyAlignment="1">
      <alignment horizontal="center" vertical="center" wrapText="1"/>
    </xf>
    <xf numFmtId="0" fontId="18" fillId="18" borderId="0" xfId="0" applyFont="1" applyFill="1" applyAlignment="1">
      <alignment horizontal="center" vertical="center" wrapText="1"/>
    </xf>
    <xf numFmtId="0" fontId="16" fillId="35" borderId="8" xfId="0" applyFont="1" applyFill="1" applyBorder="1" applyAlignment="1">
      <alignment horizontal="center" vertical="center" wrapText="1"/>
    </xf>
    <xf numFmtId="0" fontId="16" fillId="35" borderId="9" xfId="0" applyFont="1" applyFill="1" applyBorder="1" applyAlignment="1">
      <alignment horizontal="center" vertical="center" wrapText="1"/>
    </xf>
    <xf numFmtId="0" fontId="17" fillId="38" borderId="14" xfId="0" applyFont="1" applyFill="1" applyBorder="1" applyAlignment="1">
      <alignment horizontal="center" vertical="top" wrapText="1"/>
    </xf>
    <xf numFmtId="0" fontId="17" fillId="38" borderId="0" xfId="0" applyFont="1" applyFill="1" applyAlignment="1">
      <alignment horizontal="center" vertical="top" wrapText="1"/>
    </xf>
    <xf numFmtId="0" fontId="16" fillId="37" borderId="16" xfId="0" applyFont="1" applyFill="1" applyBorder="1" applyAlignment="1">
      <alignment horizontal="center" vertical="center" wrapText="1"/>
    </xf>
    <xf numFmtId="0" fontId="16" fillId="37" borderId="11" xfId="0" applyFont="1" applyFill="1" applyBorder="1" applyAlignment="1">
      <alignment horizontal="center" vertical="center" wrapText="1"/>
    </xf>
    <xf numFmtId="0" fontId="5" fillId="7" borderId="0" xfId="0" applyFont="1" applyFill="1" applyBorder="1" applyAlignment="1">
      <alignment horizontal="center" vertical="center" wrapText="1"/>
    </xf>
    <xf numFmtId="0" fontId="5" fillId="7" borderId="25" xfId="0" applyFont="1" applyFill="1" applyBorder="1" applyAlignment="1">
      <alignment horizontal="center" vertical="center" wrapText="1"/>
    </xf>
    <xf numFmtId="0" fontId="5" fillId="7"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F1F8E9"/>
      <rgbColor rgb="FF0000FF"/>
      <rgbColor rgb="FFFFF0D0"/>
      <rgbColor rgb="FFFFF3E0"/>
      <rgbColor rgb="FFEAFAF1"/>
      <rgbColor rgb="FF7B0000"/>
      <rgbColor rgb="FF2D572C"/>
      <rgbColor rgb="FF1F497D"/>
      <rgbColor rgb="FF375623"/>
      <rgbColor rgb="FFFDFEFE"/>
      <rgbColor rgb="FF1F4E79"/>
      <rgbColor rgb="FFD5E8D4"/>
      <rgbColor rgb="FF4A4A4A"/>
      <rgbColor rgb="FFC6EFCE"/>
      <rgbColor rgb="FFA0522D"/>
      <rgbColor rgb="FFFFFDE7"/>
      <rgbColor rgb="FFDDEEFF"/>
      <rgbColor rgb="FF4A235A"/>
      <rgbColor rgb="FFFDEDEC"/>
      <rgbColor rgb="FF1F618D"/>
      <rgbColor rgb="FFD4D4D4"/>
      <rgbColor rgb="FF000080"/>
      <rgbColor rgb="FFFEF9E7"/>
      <rgbColor rgb="FFFDEBD0"/>
      <rgbColor rgb="FFEBF5FB"/>
      <rgbColor rgb="FF800080"/>
      <rgbColor rgb="FF800000"/>
      <rgbColor rgb="FF2F5496"/>
      <rgbColor rgb="FF0000FF"/>
      <rgbColor rgb="FFEBF3FB"/>
      <rgbColor rgb="FFD6EAF8"/>
      <rgbColor rgb="FFD5F5E3"/>
      <rgbColor rgb="FFFFF2CC"/>
      <rgbColor rgb="FFD6E4F0"/>
      <rgbColor rgb="FFFCE4D6"/>
      <rgbColor rgb="FFEDE7F6"/>
      <rgbColor rgb="FFFFE0B2"/>
      <rgbColor rgb="FF2E75B6"/>
      <rgbColor rgb="FFE8F5E9"/>
      <rgbColor rgb="FFE2EFDA"/>
      <rgbColor rgb="FFFFD700"/>
      <rgbColor rgb="FFFF9800"/>
      <rgbColor rgb="FFE65100"/>
      <rgbColor rgb="FF555555"/>
      <rgbColor rgb="FFAAAAAA"/>
      <rgbColor rgb="FF1A3A5C"/>
      <rgbColor rgb="FF00B050"/>
      <rgbColor rgb="FF154360"/>
      <rgbColor rgb="FF1E1E1E"/>
      <rgbColor rgb="FF7B3300"/>
      <rgbColor rgb="FF7B3F00"/>
      <rgbColor rgb="FF1F3864"/>
      <rgbColor rgb="FF3E27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146744</xdr:colOff>
      <xdr:row>0</xdr:row>
      <xdr:rowOff>204906</xdr:rowOff>
    </xdr:from>
    <xdr:to>
      <xdr:col>18</xdr:col>
      <xdr:colOff>271997</xdr:colOff>
      <xdr:row>10</xdr:row>
      <xdr:rowOff>146399</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0613038" y="204906"/>
          <a:ext cx="4413371" cy="3370493"/>
        </a:xfrm>
        <a:prstGeom prst="rect">
          <a:avLst/>
        </a:prstGeom>
        <a:ln>
          <a:prstDash val="solid"/>
        </a:ln>
      </xdr:spPr>
    </xdr:pic>
    <xdr:clientData/>
  </xdr:twoCellAnchor>
  <xdr:twoCellAnchor editAs="oneCell">
    <xdr:from>
      <xdr:col>11</xdr:col>
      <xdr:colOff>249733</xdr:colOff>
      <xdr:row>12</xdr:row>
      <xdr:rowOff>27748</xdr:rowOff>
    </xdr:from>
    <xdr:to>
      <xdr:col>22</xdr:col>
      <xdr:colOff>443391</xdr:colOff>
      <xdr:row>27</xdr:row>
      <xdr:rowOff>183694</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xfrm>
          <a:off x="10716027" y="4248630"/>
          <a:ext cx="6932129" cy="4593475"/>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7"/>
  <sheetViews>
    <sheetView zoomScaleNormal="100" workbookViewId="0">
      <selection activeCell="J14" sqref="J14"/>
    </sheetView>
  </sheetViews>
  <sheetFormatPr defaultColWidth="8.5703125" defaultRowHeight="15" x14ac:dyDescent="0.25"/>
  <cols>
    <col min="1" max="1" width="15.42578125" customWidth="1"/>
    <col min="2" max="2" width="30.28515625" customWidth="1"/>
    <col min="3" max="3" width="8" customWidth="1"/>
    <col min="4" max="4" width="7" customWidth="1"/>
    <col min="5" max="5" width="27" customWidth="1"/>
    <col min="6" max="6" width="6.7109375" customWidth="1"/>
    <col min="7" max="7" width="6.85546875" customWidth="1"/>
    <col min="8" max="8" width="8" customWidth="1"/>
    <col min="9" max="9" width="24" customWidth="1"/>
    <col min="10" max="10" width="40.5703125" customWidth="1"/>
    <col min="11" max="11" width="32.28515625" customWidth="1"/>
  </cols>
  <sheetData>
    <row r="1" spans="1:12" s="2" customFormat="1" ht="27.75" customHeight="1" thickBot="1" x14ac:dyDescent="0.3">
      <c r="A1" s="144" t="s">
        <v>118</v>
      </c>
      <c r="B1" s="145"/>
      <c r="C1" s="145"/>
      <c r="D1" s="145"/>
      <c r="E1" s="145"/>
      <c r="F1" s="145"/>
      <c r="G1" s="145"/>
      <c r="H1" s="145"/>
      <c r="I1" s="146"/>
      <c r="J1" s="1"/>
      <c r="K1" s="1"/>
      <c r="L1" s="1"/>
    </row>
    <row r="2" spans="1:12" ht="19.5" customHeight="1" thickBot="1" x14ac:dyDescent="0.3">
      <c r="A2" s="138" t="s">
        <v>119</v>
      </c>
      <c r="B2" s="138"/>
      <c r="C2" s="138"/>
      <c r="D2" s="138"/>
      <c r="E2" s="138"/>
      <c r="F2" s="138"/>
      <c r="G2" s="138"/>
      <c r="H2" s="138"/>
      <c r="I2" s="147"/>
      <c r="J2" s="88" t="s">
        <v>120</v>
      </c>
    </row>
    <row r="3" spans="1:12" ht="47.1" customHeight="1" x14ac:dyDescent="0.25">
      <c r="J3" s="87"/>
    </row>
    <row r="4" spans="1:12" ht="73.5" customHeight="1" x14ac:dyDescent="0.25">
      <c r="J4" s="87"/>
    </row>
    <row r="5" spans="1:12" ht="73.5" customHeight="1" x14ac:dyDescent="0.25">
      <c r="B5" s="253" t="s">
        <v>121</v>
      </c>
      <c r="C5" s="252"/>
      <c r="D5" s="252"/>
      <c r="E5" s="252"/>
      <c r="F5" s="252"/>
      <c r="G5" s="252"/>
      <c r="H5" s="252"/>
      <c r="I5" s="254"/>
      <c r="J5" s="87"/>
    </row>
    <row r="6" spans="1:12" ht="54" customHeight="1" x14ac:dyDescent="0.25">
      <c r="B6" s="253" t="s">
        <v>122</v>
      </c>
      <c r="C6" s="252"/>
      <c r="D6" s="252"/>
      <c r="E6" s="252"/>
      <c r="F6" s="252"/>
      <c r="G6" s="252"/>
      <c r="H6" s="252"/>
      <c r="I6" s="254"/>
      <c r="J6" s="87"/>
    </row>
    <row r="7" spans="1:12" ht="54" customHeight="1" x14ac:dyDescent="0.25">
      <c r="B7" s="253" t="s">
        <v>123</v>
      </c>
      <c r="C7" s="252"/>
      <c r="D7" s="252"/>
      <c r="E7" s="252"/>
      <c r="F7" s="252"/>
      <c r="G7" s="252"/>
      <c r="H7" s="252"/>
      <c r="I7" s="254"/>
      <c r="J7" s="87"/>
    </row>
    <row r="8" spans="1:12" ht="59.25" customHeight="1" x14ac:dyDescent="0.25">
      <c r="B8" s="253" t="s">
        <v>124</v>
      </c>
      <c r="C8" s="252"/>
      <c r="D8" s="252"/>
      <c r="E8" s="252"/>
      <c r="F8" s="252"/>
      <c r="G8" s="252"/>
      <c r="H8" s="252"/>
      <c r="I8" s="254"/>
      <c r="J8" s="87"/>
    </row>
    <row r="9" spans="1:12" ht="54" customHeight="1" x14ac:dyDescent="0.25">
      <c r="B9" s="253" t="s">
        <v>125</v>
      </c>
      <c r="C9" s="252"/>
      <c r="D9" s="252"/>
      <c r="E9" s="252"/>
      <c r="F9" s="252"/>
      <c r="G9" s="252"/>
      <c r="H9" s="252"/>
      <c r="I9" s="254"/>
      <c r="J9" s="87"/>
    </row>
    <row r="10" spans="1:12" ht="12.75" customHeight="1" x14ac:dyDescent="0.25">
      <c r="B10" s="253" t="s">
        <v>126</v>
      </c>
      <c r="C10" s="252"/>
      <c r="D10" s="252"/>
      <c r="E10" s="252"/>
      <c r="F10" s="252"/>
      <c r="G10" s="252"/>
      <c r="H10" s="252"/>
      <c r="I10" s="252"/>
    </row>
    <row r="11" spans="1:12" ht="14.25" customHeight="1" x14ac:dyDescent="0.25">
      <c r="B11" s="86" t="s">
        <v>127</v>
      </c>
    </row>
    <row r="12" spans="1:12" ht="18" customHeight="1" x14ac:dyDescent="0.25">
      <c r="A12" s="138" t="s">
        <v>128</v>
      </c>
      <c r="B12" s="138"/>
      <c r="C12" s="138"/>
      <c r="D12" s="138"/>
      <c r="E12" s="138"/>
      <c r="F12" s="138"/>
      <c r="G12" s="138"/>
      <c r="H12" s="138"/>
      <c r="I12" s="138"/>
      <c r="J12" s="138"/>
    </row>
    <row r="13" spans="1:12" ht="48" customHeight="1" x14ac:dyDescent="0.25">
      <c r="B13" s="3" t="s">
        <v>129</v>
      </c>
      <c r="C13" s="3" t="s">
        <v>130</v>
      </c>
      <c r="D13" s="3" t="s">
        <v>131</v>
      </c>
      <c r="E13" s="3" t="s">
        <v>132</v>
      </c>
      <c r="F13" s="3" t="s">
        <v>133</v>
      </c>
      <c r="G13" s="3" t="s">
        <v>134</v>
      </c>
      <c r="H13" s="3" t="s">
        <v>135</v>
      </c>
      <c r="I13" s="3" t="s">
        <v>136</v>
      </c>
    </row>
    <row r="14" spans="1:12" ht="19.5" customHeight="1" x14ac:dyDescent="0.25">
      <c r="B14" s="4" t="s">
        <v>137</v>
      </c>
      <c r="C14" s="4" t="s">
        <v>138</v>
      </c>
      <c r="D14" s="4" t="s">
        <v>139</v>
      </c>
      <c r="E14" s="5" t="s">
        <v>140</v>
      </c>
      <c r="F14" s="6" t="s">
        <v>141</v>
      </c>
      <c r="G14" s="6" t="s">
        <v>141</v>
      </c>
      <c r="H14" s="7" t="s">
        <v>142</v>
      </c>
      <c r="I14" s="8" t="s">
        <v>143</v>
      </c>
    </row>
    <row r="15" spans="1:12" ht="19.5" customHeight="1" x14ac:dyDescent="0.25">
      <c r="B15" s="4" t="s">
        <v>144</v>
      </c>
      <c r="C15" s="4" t="s">
        <v>145</v>
      </c>
      <c r="D15" s="4" t="s">
        <v>146</v>
      </c>
      <c r="E15" s="9" t="s">
        <v>147</v>
      </c>
      <c r="F15" s="6" t="s">
        <v>148</v>
      </c>
      <c r="G15" s="6" t="s">
        <v>141</v>
      </c>
      <c r="H15" s="7" t="s">
        <v>149</v>
      </c>
      <c r="I15" s="8" t="s">
        <v>150</v>
      </c>
    </row>
    <row r="16" spans="1:12" ht="19.5" customHeight="1" x14ac:dyDescent="0.25">
      <c r="B16" s="4" t="s">
        <v>151</v>
      </c>
      <c r="C16" s="4" t="s">
        <v>152</v>
      </c>
      <c r="D16" s="4" t="s">
        <v>153</v>
      </c>
      <c r="E16" s="10" t="s">
        <v>154</v>
      </c>
      <c r="F16" s="6" t="s">
        <v>155</v>
      </c>
      <c r="G16" s="6" t="s">
        <v>155</v>
      </c>
      <c r="H16" s="7" t="s">
        <v>149</v>
      </c>
      <c r="I16" s="8" t="s">
        <v>156</v>
      </c>
    </row>
    <row r="17" spans="1:9" ht="19.5" customHeight="1" x14ac:dyDescent="0.25">
      <c r="B17" s="4" t="s">
        <v>157</v>
      </c>
      <c r="C17" s="4" t="s">
        <v>158</v>
      </c>
      <c r="D17" s="4" t="s">
        <v>159</v>
      </c>
      <c r="E17" s="11" t="s">
        <v>160</v>
      </c>
      <c r="F17" s="6" t="s">
        <v>155</v>
      </c>
      <c r="G17" s="6" t="s">
        <v>161</v>
      </c>
      <c r="H17" s="7" t="s">
        <v>149</v>
      </c>
      <c r="I17" s="8" t="s">
        <v>162</v>
      </c>
    </row>
    <row r="18" spans="1:9" ht="19.5" customHeight="1" x14ac:dyDescent="0.25">
      <c r="B18" s="4" t="s">
        <v>163</v>
      </c>
      <c r="C18" s="4" t="s">
        <v>164</v>
      </c>
      <c r="D18" s="4" t="s">
        <v>165</v>
      </c>
      <c r="E18" s="9" t="s">
        <v>166</v>
      </c>
      <c r="F18" s="6" t="s">
        <v>141</v>
      </c>
      <c r="G18" s="6" t="s">
        <v>148</v>
      </c>
      <c r="H18" s="7" t="s">
        <v>149</v>
      </c>
      <c r="I18" s="8" t="s">
        <v>167</v>
      </c>
    </row>
    <row r="19" spans="1:9" ht="19.5" customHeight="1" x14ac:dyDescent="0.25">
      <c r="B19" s="4" t="s">
        <v>168</v>
      </c>
      <c r="C19" s="4" t="s">
        <v>169</v>
      </c>
      <c r="D19" s="4" t="s">
        <v>170</v>
      </c>
      <c r="E19" s="12" t="s">
        <v>171</v>
      </c>
      <c r="F19" s="6" t="s">
        <v>141</v>
      </c>
      <c r="G19" s="6" t="s">
        <v>141</v>
      </c>
      <c r="H19" s="7" t="s">
        <v>142</v>
      </c>
      <c r="I19" s="8" t="s">
        <v>172</v>
      </c>
    </row>
    <row r="20" spans="1:9" ht="19.5" customHeight="1" x14ac:dyDescent="0.25">
      <c r="B20" s="4" t="s">
        <v>173</v>
      </c>
      <c r="C20" s="4" t="s">
        <v>174</v>
      </c>
      <c r="D20" s="4" t="s">
        <v>175</v>
      </c>
      <c r="E20" s="11" t="s">
        <v>176</v>
      </c>
      <c r="F20" s="6" t="s">
        <v>161</v>
      </c>
      <c r="G20" s="6" t="s">
        <v>155</v>
      </c>
      <c r="H20" s="7" t="s">
        <v>149</v>
      </c>
      <c r="I20" s="8" t="s">
        <v>177</v>
      </c>
    </row>
    <row r="21" spans="1:9" ht="19.5" customHeight="1" x14ac:dyDescent="0.25">
      <c r="B21" s="4" t="s">
        <v>178</v>
      </c>
      <c r="C21" s="4" t="s">
        <v>179</v>
      </c>
      <c r="D21" s="4" t="s">
        <v>180</v>
      </c>
      <c r="E21" s="12" t="s">
        <v>181</v>
      </c>
      <c r="F21" s="6" t="s">
        <v>141</v>
      </c>
      <c r="G21" s="6" t="s">
        <v>141</v>
      </c>
      <c r="H21" s="7" t="s">
        <v>142</v>
      </c>
      <c r="I21" s="8" t="s">
        <v>172</v>
      </c>
    </row>
    <row r="23" spans="1:9" ht="18" customHeight="1" x14ac:dyDescent="0.25">
      <c r="A23" s="138" t="s">
        <v>182</v>
      </c>
      <c r="B23" s="138"/>
      <c r="C23" s="138"/>
      <c r="D23" s="138"/>
      <c r="E23" s="138"/>
      <c r="F23" s="138"/>
      <c r="G23" s="138"/>
      <c r="H23" s="138"/>
      <c r="I23" s="138"/>
    </row>
    <row r="24" spans="1:9" ht="12.75" customHeight="1" x14ac:dyDescent="0.25">
      <c r="B24" s="253" t="s">
        <v>183</v>
      </c>
      <c r="C24" s="252"/>
      <c r="D24" s="252"/>
      <c r="E24" s="252"/>
      <c r="F24" s="252"/>
      <c r="G24" s="252"/>
      <c r="H24" s="252"/>
      <c r="I24" s="252"/>
    </row>
    <row r="25" spans="1:9" ht="12.75" customHeight="1" x14ac:dyDescent="0.25">
      <c r="B25" s="253" t="s">
        <v>184</v>
      </c>
      <c r="C25" s="252"/>
      <c r="D25" s="252"/>
      <c r="E25" s="252"/>
      <c r="F25" s="252"/>
      <c r="G25" s="252"/>
      <c r="H25" s="252"/>
      <c r="I25" s="252"/>
    </row>
    <row r="26" spans="1:9" ht="12.75" customHeight="1" x14ac:dyDescent="0.25">
      <c r="B26" s="253" t="s">
        <v>936</v>
      </c>
      <c r="C26" s="252"/>
      <c r="D26" s="252"/>
      <c r="E26" s="252"/>
      <c r="F26" s="252"/>
      <c r="G26" s="252"/>
      <c r="H26" s="252"/>
      <c r="I26" s="252"/>
    </row>
    <row r="27" spans="1:9" ht="12.75" customHeight="1" x14ac:dyDescent="0.25">
      <c r="B27" s="253" t="s">
        <v>185</v>
      </c>
      <c r="C27" s="252"/>
      <c r="D27" s="252"/>
      <c r="E27" s="252"/>
      <c r="F27" s="252"/>
      <c r="G27" s="252"/>
      <c r="H27" s="252"/>
      <c r="I27" s="252"/>
    </row>
  </sheetData>
  <mergeCells count="14">
    <mergeCell ref="B25:I25"/>
    <mergeCell ref="B26:I26"/>
    <mergeCell ref="B27:I27"/>
    <mergeCell ref="B10:I10"/>
    <mergeCell ref="B9:I9"/>
    <mergeCell ref="A12:J12"/>
    <mergeCell ref="A1:I1"/>
    <mergeCell ref="A2:I2"/>
    <mergeCell ref="A23:I23"/>
    <mergeCell ref="B24:I24"/>
    <mergeCell ref="B8:I8"/>
    <mergeCell ref="B7:I7"/>
    <mergeCell ref="B6:I6"/>
    <mergeCell ref="B5:I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topLeftCell="A9" zoomScale="85" zoomScaleNormal="85" workbookViewId="0">
      <selection activeCell="D8" sqref="D8"/>
    </sheetView>
  </sheetViews>
  <sheetFormatPr defaultColWidth="8.5703125" defaultRowHeight="15" x14ac:dyDescent="0.25"/>
  <cols>
    <col min="1" max="1" width="4.5703125" customWidth="1"/>
    <col min="2" max="2" width="20.85546875" customWidth="1"/>
    <col min="3" max="3" width="24.42578125" customWidth="1"/>
    <col min="4" max="4" width="23.5703125" customWidth="1"/>
    <col min="5" max="5" width="25.7109375" customWidth="1"/>
    <col min="6" max="6" width="32" customWidth="1"/>
    <col min="7" max="7" width="26" customWidth="1"/>
    <col min="8" max="8" width="30" customWidth="1"/>
    <col min="9" max="9" width="21.5703125" customWidth="1"/>
    <col min="10" max="10" width="28" hidden="1" customWidth="1"/>
    <col min="11" max="11" width="34" hidden="1" customWidth="1"/>
  </cols>
  <sheetData>
    <row r="1" spans="1:10" ht="27.75" customHeight="1" x14ac:dyDescent="0.25">
      <c r="A1" s="139" t="s">
        <v>186</v>
      </c>
      <c r="B1" s="140"/>
      <c r="C1" s="140"/>
      <c r="D1" s="140"/>
      <c r="E1" s="140"/>
      <c r="F1" s="140"/>
      <c r="G1" s="140"/>
      <c r="H1" s="140"/>
      <c r="I1" s="140"/>
    </row>
    <row r="2" spans="1:10" ht="18" customHeight="1" thickBot="1" x14ac:dyDescent="0.3">
      <c r="A2" s="138" t="s">
        <v>187</v>
      </c>
      <c r="B2" s="138"/>
      <c r="C2" s="138"/>
      <c r="D2" s="138"/>
      <c r="E2" s="138"/>
      <c r="F2" s="138"/>
      <c r="G2" s="138"/>
      <c r="H2" s="138"/>
      <c r="I2" s="138"/>
    </row>
    <row r="3" spans="1:10" ht="33" customHeight="1" thickBot="1" x14ac:dyDescent="0.3">
      <c r="B3" s="3" t="s">
        <v>188</v>
      </c>
      <c r="C3" s="3" t="s">
        <v>189</v>
      </c>
      <c r="D3" s="3" t="s">
        <v>190</v>
      </c>
      <c r="E3" s="3" t="s">
        <v>191</v>
      </c>
      <c r="F3" s="3" t="s">
        <v>192</v>
      </c>
      <c r="G3" s="3" t="s">
        <v>193</v>
      </c>
      <c r="H3" s="3" t="s">
        <v>194</v>
      </c>
      <c r="I3" s="3" t="s">
        <v>195</v>
      </c>
      <c r="J3" s="88" t="s">
        <v>196</v>
      </c>
    </row>
    <row r="4" spans="1:10" ht="105.6" customHeight="1" x14ac:dyDescent="0.25">
      <c r="B4" s="13" t="s">
        <v>197</v>
      </c>
      <c r="C4" s="14" t="s">
        <v>198</v>
      </c>
      <c r="D4" s="14" t="s">
        <v>199</v>
      </c>
      <c r="E4" s="14" t="s">
        <v>200</v>
      </c>
      <c r="F4" s="15" t="s">
        <v>201</v>
      </c>
      <c r="G4" s="16" t="s">
        <v>202</v>
      </c>
      <c r="H4" s="9" t="s">
        <v>203</v>
      </c>
      <c r="I4" s="17" t="s">
        <v>204</v>
      </c>
      <c r="J4" s="87" t="s">
        <v>205</v>
      </c>
    </row>
    <row r="5" spans="1:10" ht="378.95" customHeight="1" x14ac:dyDescent="0.25">
      <c r="B5" s="13" t="s">
        <v>206</v>
      </c>
      <c r="C5" s="14" t="s">
        <v>207</v>
      </c>
      <c r="D5" s="14" t="s">
        <v>208</v>
      </c>
      <c r="E5" s="14" t="s">
        <v>209</v>
      </c>
      <c r="F5" s="15" t="s">
        <v>210</v>
      </c>
      <c r="G5" s="16" t="s">
        <v>211</v>
      </c>
      <c r="H5" s="9" t="s">
        <v>212</v>
      </c>
      <c r="I5" s="17" t="s">
        <v>213</v>
      </c>
      <c r="J5" s="87" t="s">
        <v>214</v>
      </c>
    </row>
    <row r="6" spans="1:10" ht="134.1" customHeight="1" x14ac:dyDescent="0.25">
      <c r="B6" s="13" t="s">
        <v>204</v>
      </c>
      <c r="C6" s="14" t="s">
        <v>215</v>
      </c>
      <c r="D6" s="14" t="s">
        <v>216</v>
      </c>
      <c r="E6" s="14" t="s">
        <v>217</v>
      </c>
      <c r="F6" s="15" t="s">
        <v>218</v>
      </c>
      <c r="G6" s="16" t="s">
        <v>219</v>
      </c>
      <c r="H6" s="9" t="s">
        <v>220</v>
      </c>
      <c r="I6" s="17" t="s">
        <v>221</v>
      </c>
      <c r="J6" s="87" t="s">
        <v>222</v>
      </c>
    </row>
    <row r="7" spans="1:10" ht="178.5" customHeight="1" x14ac:dyDescent="0.25">
      <c r="B7" s="13" t="s">
        <v>223</v>
      </c>
      <c r="C7" s="14" t="s">
        <v>224</v>
      </c>
      <c r="D7" s="14" t="s">
        <v>225</v>
      </c>
      <c r="E7" s="14" t="s">
        <v>226</v>
      </c>
      <c r="F7" s="15" t="s">
        <v>227</v>
      </c>
      <c r="G7" s="16" t="s">
        <v>228</v>
      </c>
      <c r="H7" s="9" t="s">
        <v>229</v>
      </c>
      <c r="I7" s="17" t="s">
        <v>230</v>
      </c>
      <c r="J7" s="87"/>
    </row>
    <row r="8" spans="1:10" ht="198" customHeight="1" x14ac:dyDescent="0.25">
      <c r="B8" s="13" t="s">
        <v>230</v>
      </c>
      <c r="C8" s="14" t="s">
        <v>231</v>
      </c>
      <c r="D8" s="14" t="s">
        <v>937</v>
      </c>
      <c r="E8" s="14" t="s">
        <v>232</v>
      </c>
      <c r="F8" s="15" t="s">
        <v>233</v>
      </c>
      <c r="G8" s="16" t="s">
        <v>234</v>
      </c>
      <c r="H8" s="9" t="s">
        <v>235</v>
      </c>
      <c r="I8" s="17" t="s">
        <v>236</v>
      </c>
      <c r="J8" s="87" t="s">
        <v>237</v>
      </c>
    </row>
    <row r="9" spans="1:10" ht="113.45" customHeight="1" x14ac:dyDescent="0.25">
      <c r="B9" s="13" t="s">
        <v>238</v>
      </c>
      <c r="C9" s="14" t="s">
        <v>239</v>
      </c>
      <c r="D9" s="14" t="s">
        <v>240</v>
      </c>
      <c r="E9" s="14" t="s">
        <v>241</v>
      </c>
      <c r="F9" s="15" t="s">
        <v>242</v>
      </c>
      <c r="G9" s="16" t="s">
        <v>243</v>
      </c>
      <c r="H9" s="9" t="s">
        <v>244</v>
      </c>
      <c r="I9" s="17" t="s">
        <v>245</v>
      </c>
      <c r="J9" s="87" t="s">
        <v>246</v>
      </c>
    </row>
    <row r="10" spans="1:10" ht="122.1" customHeight="1" x14ac:dyDescent="0.25">
      <c r="B10" s="13" t="s">
        <v>245</v>
      </c>
      <c r="C10" s="14" t="s">
        <v>247</v>
      </c>
      <c r="D10" s="14" t="s">
        <v>248</v>
      </c>
      <c r="E10" s="14" t="s">
        <v>249</v>
      </c>
      <c r="F10" s="15" t="s">
        <v>250</v>
      </c>
      <c r="G10" s="16" t="s">
        <v>251</v>
      </c>
      <c r="H10" s="9" t="s">
        <v>252</v>
      </c>
      <c r="I10" s="17" t="s">
        <v>253</v>
      </c>
      <c r="J10" s="87" t="s">
        <v>254</v>
      </c>
    </row>
    <row r="11" spans="1:10" ht="107.45" customHeight="1" x14ac:dyDescent="0.25">
      <c r="B11" s="13" t="s">
        <v>255</v>
      </c>
      <c r="C11" s="14" t="s">
        <v>256</v>
      </c>
      <c r="D11" s="14" t="s">
        <v>257</v>
      </c>
      <c r="E11" s="14" t="s">
        <v>258</v>
      </c>
      <c r="F11" s="15" t="s">
        <v>259</v>
      </c>
      <c r="G11" s="16" t="s">
        <v>260</v>
      </c>
      <c r="H11" s="9" t="s">
        <v>261</v>
      </c>
      <c r="I11" s="17" t="s">
        <v>197</v>
      </c>
      <c r="J11" s="87" t="s">
        <v>262</v>
      </c>
    </row>
    <row r="12" spans="1:10" ht="154.5" customHeight="1" x14ac:dyDescent="0.25">
      <c r="B12" s="13" t="s">
        <v>263</v>
      </c>
      <c r="C12" s="14" t="s">
        <v>264</v>
      </c>
      <c r="D12" s="14" t="s">
        <v>265</v>
      </c>
      <c r="E12" s="14" t="s">
        <v>266</v>
      </c>
      <c r="F12" s="15" t="s">
        <v>267</v>
      </c>
      <c r="G12" s="16" t="s">
        <v>268</v>
      </c>
      <c r="H12" s="9" t="s">
        <v>269</v>
      </c>
      <c r="I12" s="17" t="s">
        <v>270</v>
      </c>
      <c r="J12" s="87" t="s">
        <v>271</v>
      </c>
    </row>
    <row r="13" spans="1:10" ht="70.5" customHeight="1" x14ac:dyDescent="0.25">
      <c r="B13" s="13" t="s">
        <v>272</v>
      </c>
      <c r="C13" s="14" t="s">
        <v>273</v>
      </c>
      <c r="D13" s="14" t="s">
        <v>274</v>
      </c>
      <c r="E13" s="14" t="s">
        <v>275</v>
      </c>
      <c r="F13" s="15" t="s">
        <v>276</v>
      </c>
      <c r="G13" s="16" t="s">
        <v>277</v>
      </c>
      <c r="H13" s="9" t="s">
        <v>278</v>
      </c>
      <c r="I13" s="17" t="s">
        <v>197</v>
      </c>
      <c r="J13" s="87" t="s">
        <v>279</v>
      </c>
    </row>
    <row r="14" spans="1:10" ht="54" customHeight="1" x14ac:dyDescent="0.25"/>
  </sheetData>
  <mergeCells count="2">
    <mergeCell ref="A2:I2"/>
    <mergeCell ref="A1:I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3"/>
  <sheetViews>
    <sheetView topLeftCell="A14" zoomScale="85" zoomScaleNormal="85" workbookViewId="0">
      <selection activeCell="F21" sqref="F21"/>
    </sheetView>
  </sheetViews>
  <sheetFormatPr defaultColWidth="8.5703125" defaultRowHeight="15" x14ac:dyDescent="0.25"/>
  <cols>
    <col min="1" max="1" width="4.42578125" customWidth="1"/>
    <col min="2" max="2" width="20" customWidth="1"/>
    <col min="3" max="3" width="14" customWidth="1"/>
    <col min="4" max="4" width="10" customWidth="1"/>
    <col min="5" max="5" width="16.28515625" customWidth="1"/>
    <col min="6" max="6" width="45.140625" customWidth="1"/>
    <col min="7" max="7" width="28" customWidth="1"/>
    <col min="8" max="8" width="41.140625" customWidth="1"/>
    <col min="9" max="9" width="28" hidden="1" customWidth="1"/>
    <col min="10" max="10" width="34" hidden="1" customWidth="1"/>
  </cols>
  <sheetData>
    <row r="1" spans="1:9" ht="27.75" customHeight="1" x14ac:dyDescent="0.25">
      <c r="A1" s="139" t="s">
        <v>938</v>
      </c>
      <c r="B1" s="140"/>
      <c r="C1" s="140"/>
      <c r="D1" s="140"/>
      <c r="E1" s="140"/>
      <c r="F1" s="140"/>
      <c r="G1" s="140"/>
      <c r="H1" s="140"/>
    </row>
    <row r="2" spans="1:9" ht="18" customHeight="1" thickBot="1" x14ac:dyDescent="0.3">
      <c r="A2" s="138" t="s">
        <v>939</v>
      </c>
      <c r="B2" s="138"/>
      <c r="C2" s="138"/>
      <c r="D2" s="138"/>
      <c r="E2" s="138"/>
      <c r="F2" s="138"/>
      <c r="G2" s="138"/>
      <c r="H2" s="138"/>
    </row>
    <row r="3" spans="1:9" ht="30" customHeight="1" x14ac:dyDescent="0.25">
      <c r="B3" s="3" t="s">
        <v>136</v>
      </c>
      <c r="C3" s="3" t="s">
        <v>133</v>
      </c>
      <c r="D3" s="3" t="s">
        <v>134</v>
      </c>
      <c r="E3" s="3" t="s">
        <v>280</v>
      </c>
      <c r="F3" s="3" t="s">
        <v>281</v>
      </c>
      <c r="G3" s="3" t="s">
        <v>282</v>
      </c>
      <c r="H3" s="3" t="s">
        <v>283</v>
      </c>
      <c r="I3" s="88" t="s">
        <v>284</v>
      </c>
    </row>
    <row r="4" spans="1:9" ht="66" customHeight="1" x14ac:dyDescent="0.25">
      <c r="B4" s="13" t="s">
        <v>285</v>
      </c>
      <c r="C4" s="18" t="s">
        <v>141</v>
      </c>
      <c r="D4" s="18" t="s">
        <v>141</v>
      </c>
      <c r="E4" s="19" t="s">
        <v>142</v>
      </c>
      <c r="F4" s="4" t="s">
        <v>286</v>
      </c>
      <c r="G4" s="11" t="s">
        <v>287</v>
      </c>
      <c r="H4" s="20" t="s">
        <v>940</v>
      </c>
      <c r="I4" s="87" t="s">
        <v>288</v>
      </c>
    </row>
    <row r="5" spans="1:9" ht="60" customHeight="1" x14ac:dyDescent="0.25">
      <c r="B5" s="13" t="s">
        <v>156</v>
      </c>
      <c r="C5" s="18" t="s">
        <v>155</v>
      </c>
      <c r="D5" s="18" t="s">
        <v>155</v>
      </c>
      <c r="E5" s="19" t="s">
        <v>149</v>
      </c>
      <c r="F5" s="4" t="s">
        <v>289</v>
      </c>
      <c r="G5" s="11" t="s">
        <v>290</v>
      </c>
      <c r="H5" s="10" t="s">
        <v>291</v>
      </c>
      <c r="I5" s="87" t="s">
        <v>292</v>
      </c>
    </row>
    <row r="6" spans="1:9" ht="53.25" customHeight="1" x14ac:dyDescent="0.25">
      <c r="B6" s="13" t="s">
        <v>293</v>
      </c>
      <c r="C6" s="18" t="s">
        <v>161</v>
      </c>
      <c r="D6" s="18" t="s">
        <v>155</v>
      </c>
      <c r="E6" s="19" t="s">
        <v>149</v>
      </c>
      <c r="F6" s="4" t="s">
        <v>294</v>
      </c>
      <c r="G6" s="11" t="s">
        <v>295</v>
      </c>
      <c r="H6" s="11" t="s">
        <v>296</v>
      </c>
      <c r="I6" s="87" t="s">
        <v>297</v>
      </c>
    </row>
    <row r="7" spans="1:9" ht="57" customHeight="1" x14ac:dyDescent="0.25">
      <c r="B7" s="13" t="s">
        <v>298</v>
      </c>
      <c r="C7" s="18" t="s">
        <v>155</v>
      </c>
      <c r="D7" s="18" t="s">
        <v>161</v>
      </c>
      <c r="E7" s="19" t="s">
        <v>149</v>
      </c>
      <c r="F7" s="4" t="s">
        <v>299</v>
      </c>
      <c r="G7" s="11" t="s">
        <v>300</v>
      </c>
      <c r="H7" s="11" t="s">
        <v>301</v>
      </c>
      <c r="I7" s="87" t="s">
        <v>302</v>
      </c>
    </row>
    <row r="8" spans="1:9" ht="60" customHeight="1" x14ac:dyDescent="0.25">
      <c r="B8" s="21" t="s">
        <v>303</v>
      </c>
      <c r="C8" s="18" t="s">
        <v>141</v>
      </c>
      <c r="D8" s="18" t="s">
        <v>148</v>
      </c>
      <c r="E8" s="19" t="s">
        <v>149</v>
      </c>
      <c r="F8" s="4" t="s">
        <v>304</v>
      </c>
      <c r="G8" s="11" t="s">
        <v>305</v>
      </c>
      <c r="H8" s="9" t="s">
        <v>306</v>
      </c>
      <c r="I8" s="87" t="s">
        <v>307</v>
      </c>
    </row>
    <row r="9" spans="1:9" ht="60" customHeight="1" x14ac:dyDescent="0.25">
      <c r="B9" s="21" t="s">
        <v>308</v>
      </c>
      <c r="C9" s="18" t="s">
        <v>148</v>
      </c>
      <c r="D9" s="18" t="s">
        <v>141</v>
      </c>
      <c r="E9" s="19" t="s">
        <v>149</v>
      </c>
      <c r="F9" s="4" t="s">
        <v>309</v>
      </c>
      <c r="G9" s="11" t="s">
        <v>310</v>
      </c>
      <c r="H9" s="9" t="s">
        <v>311</v>
      </c>
      <c r="I9" s="87" t="s">
        <v>312</v>
      </c>
    </row>
    <row r="10" spans="1:9" ht="30.75" customHeight="1" x14ac:dyDescent="0.25">
      <c r="B10" s="13" t="s">
        <v>313</v>
      </c>
      <c r="C10" s="18" t="s">
        <v>314</v>
      </c>
      <c r="D10" s="18" t="s">
        <v>314</v>
      </c>
      <c r="E10" s="19" t="s">
        <v>315</v>
      </c>
      <c r="F10" s="4" t="s">
        <v>316</v>
      </c>
      <c r="G10" s="11" t="s">
        <v>238</v>
      </c>
      <c r="H10" s="22" t="s">
        <v>941</v>
      </c>
    </row>
    <row r="12" spans="1:9" s="2" customFormat="1" ht="18" customHeight="1" x14ac:dyDescent="0.25">
      <c r="A12" s="141" t="s">
        <v>317</v>
      </c>
      <c r="B12" s="141"/>
      <c r="C12" s="141"/>
      <c r="D12" s="141"/>
      <c r="E12" s="141"/>
      <c r="F12" s="141"/>
      <c r="G12" s="23"/>
      <c r="H12" s="23"/>
    </row>
    <row r="13" spans="1:9" ht="15" customHeight="1" x14ac:dyDescent="0.25">
      <c r="B13" s="3" t="s">
        <v>318</v>
      </c>
      <c r="C13" s="3" t="s">
        <v>319</v>
      </c>
      <c r="D13" s="3" t="s">
        <v>53</v>
      </c>
      <c r="E13" s="3" t="s">
        <v>320</v>
      </c>
      <c r="F13" s="3" t="s">
        <v>321</v>
      </c>
    </row>
    <row r="14" spans="1:9" ht="18" customHeight="1" x14ac:dyDescent="0.25">
      <c r="B14" s="13" t="s">
        <v>322</v>
      </c>
      <c r="C14" s="4" t="s">
        <v>323</v>
      </c>
      <c r="D14" s="9" t="s">
        <v>73</v>
      </c>
      <c r="E14" s="17" t="s">
        <v>324</v>
      </c>
      <c r="F14" s="11" t="s">
        <v>325</v>
      </c>
    </row>
    <row r="15" spans="1:9" ht="18" customHeight="1" x14ac:dyDescent="0.25">
      <c r="B15" s="13" t="s">
        <v>326</v>
      </c>
      <c r="C15" s="4" t="s">
        <v>71</v>
      </c>
      <c r="D15" s="9" t="s">
        <v>73</v>
      </c>
      <c r="E15" s="17" t="s">
        <v>327</v>
      </c>
      <c r="F15" s="24" t="s">
        <v>328</v>
      </c>
    </row>
    <row r="16" spans="1:9" ht="30" customHeight="1" x14ac:dyDescent="0.25">
      <c r="B16" s="13" t="s">
        <v>329</v>
      </c>
      <c r="C16" s="4" t="s">
        <v>330</v>
      </c>
      <c r="D16" s="9" t="s">
        <v>73</v>
      </c>
      <c r="E16" s="17" t="s">
        <v>324</v>
      </c>
      <c r="F16" s="11" t="s">
        <v>331</v>
      </c>
    </row>
    <row r="17" spans="1:8" ht="18" customHeight="1" x14ac:dyDescent="0.25">
      <c r="B17" s="13" t="s">
        <v>332</v>
      </c>
      <c r="C17" s="4" t="s">
        <v>75</v>
      </c>
      <c r="D17" s="9" t="s">
        <v>73</v>
      </c>
      <c r="E17" s="17" t="s">
        <v>327</v>
      </c>
      <c r="F17" s="24" t="s">
        <v>333</v>
      </c>
    </row>
    <row r="18" spans="1:8" ht="27.75" customHeight="1" x14ac:dyDescent="0.25">
      <c r="B18" s="13" t="s">
        <v>334</v>
      </c>
      <c r="C18" s="4" t="s">
        <v>90</v>
      </c>
      <c r="D18" s="9" t="s">
        <v>73</v>
      </c>
      <c r="E18" s="17" t="s">
        <v>335</v>
      </c>
      <c r="F18" s="11" t="s">
        <v>942</v>
      </c>
    </row>
    <row r="19" spans="1:8" ht="18" customHeight="1" x14ac:dyDescent="0.25">
      <c r="B19" s="13" t="s">
        <v>336</v>
      </c>
      <c r="C19" s="4" t="s">
        <v>337</v>
      </c>
      <c r="D19" s="9" t="s">
        <v>338</v>
      </c>
      <c r="E19" s="17" t="s">
        <v>339</v>
      </c>
      <c r="F19" s="24" t="s">
        <v>340</v>
      </c>
    </row>
    <row r="20" spans="1:8" ht="18" customHeight="1" x14ac:dyDescent="0.25">
      <c r="B20" s="13" t="s">
        <v>341</v>
      </c>
      <c r="C20" s="4" t="s">
        <v>342</v>
      </c>
      <c r="D20" s="9" t="s">
        <v>338</v>
      </c>
      <c r="E20" s="17" t="s">
        <v>343</v>
      </c>
      <c r="F20" s="11" t="s">
        <v>943</v>
      </c>
    </row>
    <row r="21" spans="1:8" ht="18" customHeight="1" x14ac:dyDescent="0.25">
      <c r="B21" s="13" t="s">
        <v>344</v>
      </c>
      <c r="C21" s="4" t="s">
        <v>345</v>
      </c>
      <c r="D21" s="9" t="s">
        <v>344</v>
      </c>
      <c r="E21" s="17" t="s">
        <v>346</v>
      </c>
      <c r="F21" s="24" t="s">
        <v>944</v>
      </c>
    </row>
    <row r="23" spans="1:8" s="2" customFormat="1" ht="18" customHeight="1" x14ac:dyDescent="0.25">
      <c r="A23" s="141" t="s">
        <v>347</v>
      </c>
      <c r="B23" s="141"/>
      <c r="C23" s="141"/>
      <c r="D23" s="141"/>
      <c r="E23" s="141"/>
      <c r="F23" s="141"/>
      <c r="G23" s="23"/>
      <c r="H23" s="23"/>
    </row>
    <row r="24" spans="1:8" ht="183" customHeight="1" x14ac:dyDescent="0.25">
      <c r="A24" s="142" t="s">
        <v>348</v>
      </c>
      <c r="B24" s="142"/>
      <c r="C24" s="142"/>
      <c r="D24" s="142"/>
      <c r="E24" s="142"/>
      <c r="F24" s="143"/>
      <c r="G24" s="25"/>
      <c r="H24" s="25"/>
    </row>
    <row r="25" spans="1:8" ht="15" customHeight="1" x14ac:dyDescent="0.25">
      <c r="B25" s="25"/>
      <c r="C25" s="25"/>
      <c r="D25" s="25"/>
      <c r="E25" s="25"/>
      <c r="F25" s="25"/>
      <c r="G25" s="25"/>
      <c r="H25" s="25"/>
    </row>
    <row r="26" spans="1:8" ht="15" customHeight="1" x14ac:dyDescent="0.25">
      <c r="B26" s="25"/>
      <c r="C26" s="25"/>
      <c r="D26" s="25"/>
      <c r="E26" s="25"/>
      <c r="F26" s="25"/>
      <c r="G26" s="25"/>
      <c r="H26" s="25"/>
    </row>
    <row r="27" spans="1:8" ht="15" customHeight="1" x14ac:dyDescent="0.25">
      <c r="B27" s="25"/>
      <c r="C27" s="25"/>
      <c r="D27" s="25"/>
      <c r="E27" s="25"/>
      <c r="F27" s="25"/>
      <c r="G27" s="25"/>
      <c r="H27" s="25"/>
    </row>
    <row r="28" spans="1:8" ht="15" customHeight="1" x14ac:dyDescent="0.25">
      <c r="B28" s="25"/>
      <c r="C28" s="25"/>
      <c r="D28" s="25"/>
      <c r="E28" s="25"/>
      <c r="F28" s="25"/>
      <c r="G28" s="25"/>
      <c r="H28" s="25"/>
    </row>
    <row r="29" spans="1:8" ht="15" customHeight="1" x14ac:dyDescent="0.25">
      <c r="B29" s="25"/>
      <c r="C29" s="25"/>
      <c r="D29" s="25"/>
      <c r="E29" s="25"/>
      <c r="F29" s="25"/>
      <c r="G29" s="25"/>
      <c r="H29" s="25"/>
    </row>
    <row r="30" spans="1:8" ht="15" customHeight="1" x14ac:dyDescent="0.25">
      <c r="B30" s="25"/>
      <c r="C30" s="25"/>
      <c r="D30" s="25"/>
      <c r="E30" s="25"/>
      <c r="F30" s="25"/>
      <c r="G30" s="25"/>
      <c r="H30" s="25"/>
    </row>
    <row r="31" spans="1:8" ht="15" customHeight="1" x14ac:dyDescent="0.25">
      <c r="B31" s="25"/>
      <c r="C31" s="25"/>
      <c r="D31" s="25"/>
      <c r="E31" s="25"/>
      <c r="F31" s="25"/>
      <c r="G31" s="25"/>
      <c r="H31" s="25"/>
    </row>
    <row r="32" spans="1:8" ht="15" customHeight="1" x14ac:dyDescent="0.25">
      <c r="B32" s="25"/>
      <c r="C32" s="25"/>
      <c r="D32" s="25"/>
      <c r="E32" s="25"/>
      <c r="F32" s="25"/>
      <c r="G32" s="25"/>
      <c r="H32" s="25"/>
    </row>
    <row r="33" spans="2:8" ht="15" customHeight="1" x14ac:dyDescent="0.25">
      <c r="B33" s="25"/>
      <c r="C33" s="25"/>
      <c r="D33" s="25"/>
      <c r="E33" s="25"/>
      <c r="F33" s="25"/>
      <c r="G33" s="25"/>
      <c r="H33" s="25"/>
    </row>
  </sheetData>
  <mergeCells count="5">
    <mergeCell ref="A2:H2"/>
    <mergeCell ref="A1:H1"/>
    <mergeCell ref="A12:F12"/>
    <mergeCell ref="A23:F23"/>
    <mergeCell ref="A24:F2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8"/>
  <sheetViews>
    <sheetView topLeftCell="A18" zoomScaleNormal="100" workbookViewId="0">
      <selection activeCell="F27" sqref="F27"/>
    </sheetView>
  </sheetViews>
  <sheetFormatPr defaultColWidth="8.7109375" defaultRowHeight="15" x14ac:dyDescent="0.25"/>
  <cols>
    <col min="1" max="1" width="24" customWidth="1"/>
    <col min="2" max="2" width="22" customWidth="1"/>
    <col min="3" max="3" width="26" customWidth="1"/>
    <col min="4" max="5" width="22" customWidth="1"/>
    <col min="6" max="6" width="24.85546875" customWidth="1"/>
    <col min="7" max="7" width="26" customWidth="1"/>
  </cols>
  <sheetData>
    <row r="1" spans="1:7" ht="27.75" customHeight="1" x14ac:dyDescent="0.25">
      <c r="A1" s="150" t="s">
        <v>0</v>
      </c>
      <c r="B1" s="151"/>
      <c r="C1" s="151"/>
      <c r="D1" s="151"/>
      <c r="E1" s="151"/>
      <c r="F1" s="151"/>
      <c r="G1" s="151"/>
    </row>
    <row r="2" spans="1:7" ht="21.75" customHeight="1" x14ac:dyDescent="0.25">
      <c r="A2" s="152" t="s">
        <v>1</v>
      </c>
      <c r="B2" s="153"/>
      <c r="C2" s="153"/>
      <c r="D2" s="153"/>
      <c r="E2" s="153"/>
      <c r="F2" s="153"/>
      <c r="G2" s="153"/>
    </row>
    <row r="3" spans="1:7" ht="19.5" customHeight="1" x14ac:dyDescent="0.25">
      <c r="A3" s="26" t="s">
        <v>2</v>
      </c>
      <c r="B3" s="26" t="s">
        <v>3</v>
      </c>
      <c r="C3" s="26" t="s">
        <v>4</v>
      </c>
      <c r="D3" s="26" t="s">
        <v>5</v>
      </c>
      <c r="E3" s="26" t="s">
        <v>6</v>
      </c>
      <c r="F3" s="26" t="s">
        <v>7</v>
      </c>
      <c r="G3" s="26" t="s">
        <v>8</v>
      </c>
    </row>
    <row r="4" spans="1:7" ht="168" customHeight="1" x14ac:dyDescent="0.25">
      <c r="A4" s="27" t="s">
        <v>9</v>
      </c>
      <c r="B4" s="28" t="s">
        <v>10</v>
      </c>
      <c r="C4" s="29" t="s">
        <v>11</v>
      </c>
      <c r="D4" s="28" t="s">
        <v>12</v>
      </c>
      <c r="E4" s="29" t="s">
        <v>13</v>
      </c>
      <c r="F4" s="30" t="s">
        <v>14</v>
      </c>
      <c r="G4" s="31" t="s">
        <v>15</v>
      </c>
    </row>
    <row r="5" spans="1:7" ht="141.94999999999999" customHeight="1" x14ac:dyDescent="0.25">
      <c r="A5" s="32" t="s">
        <v>16</v>
      </c>
      <c r="B5" s="33" t="s">
        <v>17</v>
      </c>
      <c r="C5" s="34" t="s">
        <v>18</v>
      </c>
      <c r="D5" s="33" t="s">
        <v>19</v>
      </c>
      <c r="E5" s="34" t="s">
        <v>20</v>
      </c>
      <c r="F5" s="30" t="s">
        <v>21</v>
      </c>
      <c r="G5" s="35" t="s">
        <v>22</v>
      </c>
    </row>
    <row r="6" spans="1:7" ht="152.1" customHeight="1" x14ac:dyDescent="0.25">
      <c r="A6" s="36" t="s">
        <v>23</v>
      </c>
      <c r="B6" s="37" t="s">
        <v>24</v>
      </c>
      <c r="C6" s="38" t="s">
        <v>25</v>
      </c>
      <c r="D6" s="37" t="s">
        <v>26</v>
      </c>
      <c r="E6" s="38" t="s">
        <v>27</v>
      </c>
      <c r="F6" s="30" t="s">
        <v>28</v>
      </c>
      <c r="G6" s="35" t="s">
        <v>29</v>
      </c>
    </row>
    <row r="7" spans="1:7" ht="190.5" customHeight="1" x14ac:dyDescent="0.25">
      <c r="A7" s="27" t="s">
        <v>945</v>
      </c>
      <c r="B7" s="28" t="s">
        <v>30</v>
      </c>
      <c r="C7" s="29" t="s">
        <v>31</v>
      </c>
      <c r="D7" s="28" t="s">
        <v>32</v>
      </c>
      <c r="E7" s="29" t="s">
        <v>33</v>
      </c>
      <c r="F7" s="30" t="s">
        <v>34</v>
      </c>
      <c r="G7" s="35" t="s">
        <v>35</v>
      </c>
    </row>
    <row r="8" spans="1:7" ht="129.75" customHeight="1" x14ac:dyDescent="0.25">
      <c r="A8" s="39" t="s">
        <v>36</v>
      </c>
      <c r="B8" s="40" t="s">
        <v>37</v>
      </c>
      <c r="C8" s="41" t="s">
        <v>38</v>
      </c>
      <c r="D8" s="40" t="s">
        <v>39</v>
      </c>
      <c r="E8" s="41" t="s">
        <v>40</v>
      </c>
      <c r="F8" s="30" t="s">
        <v>41</v>
      </c>
      <c r="G8" s="31" t="s">
        <v>42</v>
      </c>
    </row>
    <row r="9" spans="1:7" ht="129.75" customHeight="1" x14ac:dyDescent="0.25">
      <c r="A9" s="32" t="s">
        <v>43</v>
      </c>
      <c r="B9" s="33" t="s">
        <v>44</v>
      </c>
      <c r="C9" s="34" t="s">
        <v>45</v>
      </c>
      <c r="D9" s="33" t="s">
        <v>46</v>
      </c>
      <c r="E9" s="34" t="s">
        <v>47</v>
      </c>
      <c r="F9" s="30" t="s">
        <v>48</v>
      </c>
      <c r="G9" s="31" t="s">
        <v>49</v>
      </c>
    </row>
    <row r="11" spans="1:7" ht="21.75" customHeight="1" x14ac:dyDescent="0.25">
      <c r="A11" s="148" t="s">
        <v>50</v>
      </c>
      <c r="B11" s="149"/>
      <c r="C11" s="149"/>
      <c r="D11" s="149"/>
      <c r="E11" s="149"/>
      <c r="F11" s="149"/>
    </row>
    <row r="12" spans="1:7" ht="18" customHeight="1" x14ac:dyDescent="0.25">
      <c r="A12" s="42" t="s">
        <v>51</v>
      </c>
      <c r="B12" s="42" t="s">
        <v>52</v>
      </c>
      <c r="C12" s="42" t="s">
        <v>53</v>
      </c>
      <c r="D12" s="42" t="s">
        <v>54</v>
      </c>
      <c r="E12" s="42" t="s">
        <v>55</v>
      </c>
      <c r="F12" s="42" t="s">
        <v>56</v>
      </c>
    </row>
    <row r="13" spans="1:7" ht="18" customHeight="1" x14ac:dyDescent="0.25">
      <c r="A13" s="27" t="s">
        <v>57</v>
      </c>
      <c r="B13" s="29" t="s">
        <v>58</v>
      </c>
      <c r="C13" s="43" t="s">
        <v>59</v>
      </c>
      <c r="D13" s="29" t="s">
        <v>60</v>
      </c>
      <c r="E13" s="43" t="s">
        <v>61</v>
      </c>
      <c r="F13" s="29" t="s">
        <v>62</v>
      </c>
    </row>
    <row r="14" spans="1:7" ht="18" customHeight="1" x14ac:dyDescent="0.25">
      <c r="A14" s="32" t="s">
        <v>63</v>
      </c>
      <c r="B14" s="34" t="s">
        <v>64</v>
      </c>
      <c r="C14" s="44" t="s">
        <v>59</v>
      </c>
      <c r="D14" s="34" t="s">
        <v>65</v>
      </c>
      <c r="E14" s="44" t="s">
        <v>61</v>
      </c>
      <c r="F14" s="34" t="s">
        <v>66</v>
      </c>
    </row>
    <row r="15" spans="1:7" ht="18" customHeight="1" x14ac:dyDescent="0.25">
      <c r="A15" s="27" t="s">
        <v>67</v>
      </c>
      <c r="B15" s="29" t="s">
        <v>68</v>
      </c>
      <c r="C15" s="43" t="s">
        <v>59</v>
      </c>
      <c r="D15" s="29" t="s">
        <v>69</v>
      </c>
      <c r="E15" s="43" t="s">
        <v>61</v>
      </c>
      <c r="F15" s="29" t="s">
        <v>70</v>
      </c>
    </row>
    <row r="16" spans="1:7" ht="18" customHeight="1" x14ac:dyDescent="0.25">
      <c r="A16" s="32" t="s">
        <v>71</v>
      </c>
      <c r="B16" s="34" t="s">
        <v>72</v>
      </c>
      <c r="C16" s="44" t="s">
        <v>73</v>
      </c>
      <c r="D16" s="34" t="s">
        <v>946</v>
      </c>
      <c r="E16" s="44" t="s">
        <v>61</v>
      </c>
      <c r="F16" s="34" t="s">
        <v>74</v>
      </c>
    </row>
    <row r="17" spans="1:6" ht="18" customHeight="1" x14ac:dyDescent="0.25">
      <c r="A17" s="27" t="s">
        <v>75</v>
      </c>
      <c r="B17" s="29" t="s">
        <v>76</v>
      </c>
      <c r="C17" s="43" t="s">
        <v>73</v>
      </c>
      <c r="D17" s="29" t="s">
        <v>947</v>
      </c>
      <c r="E17" s="43" t="s">
        <v>61</v>
      </c>
      <c r="F17" s="29" t="s">
        <v>74</v>
      </c>
    </row>
    <row r="18" spans="1:6" ht="18" customHeight="1" x14ac:dyDescent="0.25">
      <c r="A18" s="32" t="s">
        <v>77</v>
      </c>
      <c r="B18" s="34" t="s">
        <v>78</v>
      </c>
      <c r="C18" s="44" t="s">
        <v>59</v>
      </c>
      <c r="D18" s="34"/>
      <c r="E18" s="44" t="s">
        <v>79</v>
      </c>
      <c r="F18" s="34" t="s">
        <v>80</v>
      </c>
    </row>
    <row r="19" spans="1:6" ht="18" customHeight="1" x14ac:dyDescent="0.25">
      <c r="A19" s="27" t="s">
        <v>81</v>
      </c>
      <c r="B19" s="29" t="s">
        <v>82</v>
      </c>
      <c r="C19" s="43" t="s">
        <v>73</v>
      </c>
      <c r="D19" s="29" t="s">
        <v>83</v>
      </c>
      <c r="E19" s="43" t="s">
        <v>84</v>
      </c>
      <c r="F19" s="29" t="s">
        <v>85</v>
      </c>
    </row>
    <row r="20" spans="1:6" ht="18" customHeight="1" x14ac:dyDescent="0.25">
      <c r="A20" s="32" t="s">
        <v>86</v>
      </c>
      <c r="B20" s="34" t="s">
        <v>87</v>
      </c>
      <c r="C20" s="44" t="s">
        <v>59</v>
      </c>
      <c r="D20" s="34" t="s">
        <v>88</v>
      </c>
      <c r="E20" s="44" t="s">
        <v>84</v>
      </c>
      <c r="F20" s="34" t="s">
        <v>89</v>
      </c>
    </row>
    <row r="21" spans="1:6" ht="18" customHeight="1" x14ac:dyDescent="0.25">
      <c r="A21" s="27" t="s">
        <v>90</v>
      </c>
      <c r="B21" s="29" t="s">
        <v>91</v>
      </c>
      <c r="C21" s="43" t="s">
        <v>73</v>
      </c>
      <c r="D21" s="29" t="s">
        <v>948</v>
      </c>
      <c r="E21" s="43" t="s">
        <v>61</v>
      </c>
      <c r="F21" s="29" t="s">
        <v>92</v>
      </c>
    </row>
    <row r="22" spans="1:6" ht="18" customHeight="1" x14ac:dyDescent="0.25">
      <c r="A22" s="32" t="s">
        <v>93</v>
      </c>
      <c r="B22" s="34" t="s">
        <v>94</v>
      </c>
      <c r="C22" s="44" t="s">
        <v>59</v>
      </c>
      <c r="D22" s="34" t="s">
        <v>95</v>
      </c>
      <c r="E22" s="44" t="s">
        <v>79</v>
      </c>
      <c r="F22" s="34" t="s">
        <v>96</v>
      </c>
    </row>
    <row r="23" spans="1:6" ht="18" customHeight="1" x14ac:dyDescent="0.25">
      <c r="A23" s="36" t="s">
        <v>97</v>
      </c>
      <c r="B23" s="45" t="s">
        <v>98</v>
      </c>
      <c r="C23" s="36" t="s">
        <v>73</v>
      </c>
      <c r="D23" s="45" t="s">
        <v>99</v>
      </c>
      <c r="E23" s="36" t="s">
        <v>100</v>
      </c>
      <c r="F23" s="45" t="s">
        <v>101</v>
      </c>
    </row>
    <row r="24" spans="1:6" ht="18" customHeight="1" x14ac:dyDescent="0.25">
      <c r="A24" s="36" t="s">
        <v>102</v>
      </c>
      <c r="B24" s="45" t="s">
        <v>103</v>
      </c>
      <c r="C24" s="36" t="s">
        <v>73</v>
      </c>
      <c r="D24" s="45" t="s">
        <v>104</v>
      </c>
      <c r="E24" s="36" t="s">
        <v>100</v>
      </c>
      <c r="F24" s="45" t="s">
        <v>105</v>
      </c>
    </row>
    <row r="25" spans="1:6" ht="18" customHeight="1" x14ac:dyDescent="0.25">
      <c r="A25" s="36" t="s">
        <v>106</v>
      </c>
      <c r="B25" s="45" t="s">
        <v>107</v>
      </c>
      <c r="C25" s="36" t="s">
        <v>73</v>
      </c>
      <c r="D25" s="45" t="s">
        <v>949</v>
      </c>
      <c r="E25" s="36" t="s">
        <v>108</v>
      </c>
      <c r="F25" s="45" t="s">
        <v>109</v>
      </c>
    </row>
    <row r="26" spans="1:6" ht="18" customHeight="1" x14ac:dyDescent="0.25">
      <c r="A26" s="36" t="s">
        <v>110</v>
      </c>
      <c r="B26" s="45" t="s">
        <v>111</v>
      </c>
      <c r="C26" s="36" t="s">
        <v>73</v>
      </c>
      <c r="D26" s="45" t="s">
        <v>950</v>
      </c>
      <c r="E26" s="36" t="s">
        <v>108</v>
      </c>
      <c r="F26" s="45" t="s">
        <v>112</v>
      </c>
    </row>
    <row r="27" spans="1:6" ht="18" customHeight="1" x14ac:dyDescent="0.25">
      <c r="A27" s="27" t="s">
        <v>113</v>
      </c>
      <c r="B27" s="29" t="s">
        <v>114</v>
      </c>
      <c r="C27" s="43" t="s">
        <v>73</v>
      </c>
      <c r="D27" s="29"/>
      <c r="E27" s="43" t="s">
        <v>61</v>
      </c>
      <c r="F27" s="29"/>
    </row>
    <row r="28" spans="1:6" ht="18" customHeight="1" x14ac:dyDescent="0.25">
      <c r="A28" s="32" t="s">
        <v>115</v>
      </c>
      <c r="B28" s="34" t="s">
        <v>116</v>
      </c>
      <c r="C28" s="44" t="s">
        <v>73</v>
      </c>
      <c r="D28" s="34"/>
      <c r="E28" s="44" t="s">
        <v>61</v>
      </c>
      <c r="F28" s="34" t="s">
        <v>117</v>
      </c>
    </row>
  </sheetData>
  <mergeCells count="3">
    <mergeCell ref="A11:F11"/>
    <mergeCell ref="A1:G1"/>
    <mergeCell ref="A2:G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2"/>
  <sheetViews>
    <sheetView topLeftCell="A20" zoomScaleNormal="100" workbookViewId="0">
      <selection activeCell="C5" sqref="C5"/>
    </sheetView>
  </sheetViews>
  <sheetFormatPr defaultColWidth="8.5703125" defaultRowHeight="15" x14ac:dyDescent="0.25"/>
  <cols>
    <col min="1" max="1" width="4.7109375" style="81" customWidth="1"/>
    <col min="2" max="2" width="101" style="81" customWidth="1"/>
    <col min="3" max="3" width="57.42578125" style="81" customWidth="1"/>
    <col min="4" max="4" width="28" style="81" customWidth="1"/>
    <col min="5" max="5" width="34" style="81" customWidth="1"/>
    <col min="6" max="16384" width="8.5703125" style="81"/>
  </cols>
  <sheetData>
    <row r="1" spans="1:3" ht="27.75" customHeight="1" x14ac:dyDescent="0.25">
      <c r="A1" s="154" t="s">
        <v>349</v>
      </c>
      <c r="B1" s="155"/>
      <c r="C1" s="155"/>
    </row>
    <row r="2" spans="1:3" ht="18" customHeight="1" thickBot="1" x14ac:dyDescent="0.3">
      <c r="A2" s="138" t="s">
        <v>350</v>
      </c>
      <c r="B2" s="138"/>
      <c r="C2" s="138"/>
    </row>
    <row r="3" spans="1:3" ht="19.5" customHeight="1" thickBot="1" x14ac:dyDescent="0.3">
      <c r="B3" s="46" t="s">
        <v>351</v>
      </c>
      <c r="C3" s="88" t="s">
        <v>352</v>
      </c>
    </row>
    <row r="4" spans="1:3" ht="49.5" customHeight="1" x14ac:dyDescent="0.25">
      <c r="B4" s="100" t="s">
        <v>353</v>
      </c>
      <c r="C4" s="101" t="s">
        <v>354</v>
      </c>
    </row>
    <row r="5" spans="1:3" s="102" customFormat="1" ht="409.5" x14ac:dyDescent="0.25">
      <c r="B5" s="103" t="s">
        <v>355</v>
      </c>
      <c r="C5" s="87" t="s">
        <v>356</v>
      </c>
    </row>
    <row r="6" spans="1:3" ht="64.5" customHeight="1" x14ac:dyDescent="0.25">
      <c r="B6" s="100" t="s">
        <v>357</v>
      </c>
      <c r="C6" s="101" t="s">
        <v>358</v>
      </c>
    </row>
    <row r="7" spans="1:3" s="102" customFormat="1" ht="281.25" x14ac:dyDescent="0.25">
      <c r="B7" s="103" t="s">
        <v>359</v>
      </c>
      <c r="C7" s="87" t="s">
        <v>360</v>
      </c>
    </row>
    <row r="8" spans="1:3" ht="44.1" customHeight="1" x14ac:dyDescent="0.25">
      <c r="B8" s="100" t="s">
        <v>361</v>
      </c>
      <c r="C8" s="101" t="s">
        <v>362</v>
      </c>
    </row>
    <row r="9" spans="1:3" s="102" customFormat="1" ht="135" x14ac:dyDescent="0.25">
      <c r="B9" s="103" t="s">
        <v>363</v>
      </c>
      <c r="C9" s="87" t="s">
        <v>364</v>
      </c>
    </row>
    <row r="10" spans="1:3" ht="48" x14ac:dyDescent="0.25">
      <c r="B10" s="100" t="s">
        <v>365</v>
      </c>
      <c r="C10" s="101" t="s">
        <v>366</v>
      </c>
    </row>
    <row r="11" spans="1:3" s="102" customFormat="1" ht="270" x14ac:dyDescent="0.25">
      <c r="B11" s="103" t="s">
        <v>367</v>
      </c>
      <c r="C11" s="87" t="s">
        <v>368</v>
      </c>
    </row>
    <row r="12" spans="1:3" x14ac:dyDescent="0.25">
      <c r="B12" s="100" t="s">
        <v>369</v>
      </c>
    </row>
    <row r="13" spans="1:3" s="102" customFormat="1" ht="292.5" x14ac:dyDescent="0.25">
      <c r="B13" s="103" t="s">
        <v>370</v>
      </c>
    </row>
    <row r="14" spans="1:3" x14ac:dyDescent="0.25">
      <c r="B14" s="100" t="s">
        <v>371</v>
      </c>
    </row>
    <row r="15" spans="1:3" s="102" customFormat="1" ht="409.5" x14ac:dyDescent="0.25">
      <c r="B15" s="103" t="s">
        <v>372</v>
      </c>
    </row>
    <row r="16" spans="1:3" x14ac:dyDescent="0.25">
      <c r="B16" s="100" t="s">
        <v>373</v>
      </c>
    </row>
    <row r="17" spans="2:2" ht="19.5" customHeight="1" x14ac:dyDescent="0.25">
      <c r="B17" s="100" t="s">
        <v>374</v>
      </c>
    </row>
    <row r="18" spans="2:2" s="102" customFormat="1" ht="409.5" customHeight="1" x14ac:dyDescent="0.25">
      <c r="B18" s="103" t="s">
        <v>375</v>
      </c>
    </row>
    <row r="19" spans="2:2" ht="19.5" customHeight="1" x14ac:dyDescent="0.25">
      <c r="B19" s="100" t="s">
        <v>376</v>
      </c>
    </row>
    <row r="20" spans="2:2" s="102" customFormat="1" ht="409.5" customHeight="1" x14ac:dyDescent="0.25">
      <c r="B20" s="103" t="s">
        <v>377</v>
      </c>
    </row>
    <row r="21" spans="2:2" ht="19.5" customHeight="1" x14ac:dyDescent="0.25">
      <c r="B21" s="100" t="s">
        <v>378</v>
      </c>
    </row>
    <row r="22" spans="2:2" s="102" customFormat="1" ht="409.5" customHeight="1" x14ac:dyDescent="0.25">
      <c r="B22" s="103" t="s">
        <v>379</v>
      </c>
    </row>
  </sheetData>
  <mergeCells count="2">
    <mergeCell ref="A1:C1"/>
    <mergeCell ref="A2:C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6"/>
  <sheetViews>
    <sheetView topLeftCell="A46" zoomScale="85" zoomScaleNormal="85" workbookViewId="0">
      <selection activeCell="G53" sqref="G53"/>
    </sheetView>
  </sheetViews>
  <sheetFormatPr defaultColWidth="8.5703125" defaultRowHeight="15" x14ac:dyDescent="0.25"/>
  <cols>
    <col min="1" max="1" width="5.140625" customWidth="1"/>
    <col min="2" max="2" width="19.85546875" customWidth="1"/>
    <col min="3" max="3" width="21.5703125" customWidth="1"/>
    <col min="4" max="4" width="11.42578125" customWidth="1"/>
    <col min="5" max="5" width="24" customWidth="1"/>
    <col min="6" max="6" width="35.42578125" customWidth="1"/>
    <col min="7" max="7" width="26" customWidth="1"/>
    <col min="8" max="8" width="36" customWidth="1"/>
    <col min="9" max="9" width="33.140625" customWidth="1"/>
    <col min="10" max="10" width="28" customWidth="1"/>
    <col min="11" max="11" width="34" customWidth="1"/>
  </cols>
  <sheetData>
    <row r="1" spans="1:9" ht="27.75" customHeight="1" x14ac:dyDescent="0.25">
      <c r="A1" s="139" t="s">
        <v>380</v>
      </c>
      <c r="B1" s="140"/>
      <c r="C1" s="140"/>
      <c r="D1" s="140"/>
      <c r="E1" s="140"/>
      <c r="F1" s="140"/>
      <c r="G1" s="140"/>
      <c r="H1" s="140"/>
      <c r="I1" s="140"/>
    </row>
    <row r="2" spans="1:9" ht="18" customHeight="1" thickBot="1" x14ac:dyDescent="0.3">
      <c r="A2" s="138" t="s">
        <v>381</v>
      </c>
      <c r="B2" s="138"/>
      <c r="C2" s="138"/>
      <c r="D2" s="138"/>
      <c r="E2" s="138"/>
      <c r="F2" s="138"/>
      <c r="G2" s="138"/>
      <c r="H2" s="138"/>
      <c r="I2" s="138"/>
    </row>
    <row r="3" spans="1:9" ht="30.75" customHeight="1" x14ac:dyDescent="0.25">
      <c r="B3" s="3" t="s">
        <v>382</v>
      </c>
      <c r="C3" s="3" t="s">
        <v>383</v>
      </c>
      <c r="D3" s="3" t="s">
        <v>384</v>
      </c>
      <c r="E3" s="3" t="s">
        <v>385</v>
      </c>
      <c r="F3" s="3" t="s">
        <v>386</v>
      </c>
      <c r="G3" s="3" t="s">
        <v>387</v>
      </c>
      <c r="H3" s="3" t="s">
        <v>388</v>
      </c>
      <c r="I3" s="88" t="s">
        <v>389</v>
      </c>
    </row>
    <row r="4" spans="1:9" ht="112.5" customHeight="1" x14ac:dyDescent="0.25">
      <c r="B4" s="13" t="s">
        <v>197</v>
      </c>
      <c r="C4" s="19" t="s">
        <v>206</v>
      </c>
      <c r="D4" s="14" t="s">
        <v>390</v>
      </c>
      <c r="E4" s="14" t="s">
        <v>391</v>
      </c>
      <c r="F4" s="12" t="s">
        <v>392</v>
      </c>
      <c r="G4" s="47" t="s">
        <v>393</v>
      </c>
      <c r="H4" s="12" t="s">
        <v>394</v>
      </c>
      <c r="I4" s="87" t="s">
        <v>395</v>
      </c>
    </row>
    <row r="5" spans="1:9" ht="70.5" customHeight="1" x14ac:dyDescent="0.25">
      <c r="B5" s="13" t="s">
        <v>206</v>
      </c>
      <c r="C5" s="19" t="s">
        <v>197</v>
      </c>
      <c r="D5" s="14" t="s">
        <v>396</v>
      </c>
      <c r="E5" s="14" t="s">
        <v>397</v>
      </c>
      <c r="F5" s="12" t="s">
        <v>398</v>
      </c>
      <c r="G5" s="47" t="s">
        <v>399</v>
      </c>
      <c r="H5" s="11" t="s">
        <v>394</v>
      </c>
      <c r="I5" s="87" t="s">
        <v>400</v>
      </c>
    </row>
    <row r="6" spans="1:9" ht="63.75" customHeight="1" x14ac:dyDescent="0.25">
      <c r="B6" s="13" t="s">
        <v>206</v>
      </c>
      <c r="C6" s="19" t="s">
        <v>204</v>
      </c>
      <c r="D6" s="14" t="s">
        <v>401</v>
      </c>
      <c r="E6" s="14" t="s">
        <v>402</v>
      </c>
      <c r="F6" s="12" t="s">
        <v>403</v>
      </c>
      <c r="G6" s="47" t="s">
        <v>404</v>
      </c>
      <c r="H6" s="22" t="s">
        <v>405</v>
      </c>
      <c r="I6" s="87" t="s">
        <v>406</v>
      </c>
    </row>
    <row r="7" spans="1:9" ht="69.75" customHeight="1" x14ac:dyDescent="0.25">
      <c r="B7" s="13" t="s">
        <v>204</v>
      </c>
      <c r="C7" s="19" t="s">
        <v>255</v>
      </c>
      <c r="D7" s="14" t="s">
        <v>407</v>
      </c>
      <c r="E7" s="14" t="s">
        <v>408</v>
      </c>
      <c r="F7" s="12" t="s">
        <v>409</v>
      </c>
      <c r="G7" s="47" t="s">
        <v>410</v>
      </c>
      <c r="H7" s="10" t="s">
        <v>411</v>
      </c>
      <c r="I7" s="87" t="s">
        <v>412</v>
      </c>
    </row>
    <row r="8" spans="1:9" ht="96.75" customHeight="1" x14ac:dyDescent="0.25">
      <c r="B8" s="13" t="s">
        <v>255</v>
      </c>
      <c r="C8" s="19" t="s">
        <v>197</v>
      </c>
      <c r="D8" s="14" t="s">
        <v>413</v>
      </c>
      <c r="E8" s="14" t="s">
        <v>414</v>
      </c>
      <c r="F8" s="12" t="s">
        <v>415</v>
      </c>
      <c r="G8" s="47" t="s">
        <v>416</v>
      </c>
      <c r="H8" s="24" t="s">
        <v>417</v>
      </c>
      <c r="I8" s="87" t="s">
        <v>418</v>
      </c>
    </row>
    <row r="9" spans="1:9" ht="78" customHeight="1" x14ac:dyDescent="0.25">
      <c r="B9" s="13" t="s">
        <v>197</v>
      </c>
      <c r="C9" s="19" t="s">
        <v>204</v>
      </c>
      <c r="D9" s="14" t="s">
        <v>419</v>
      </c>
      <c r="E9" s="14" t="s">
        <v>420</v>
      </c>
      <c r="F9" s="12" t="s">
        <v>421</v>
      </c>
      <c r="G9" s="47" t="s">
        <v>422</v>
      </c>
      <c r="H9" s="11" t="s">
        <v>405</v>
      </c>
      <c r="I9" s="87" t="s">
        <v>423</v>
      </c>
    </row>
    <row r="10" spans="1:9" ht="63" customHeight="1" x14ac:dyDescent="0.25">
      <c r="B10" s="13" t="s">
        <v>204</v>
      </c>
      <c r="C10" s="19" t="s">
        <v>245</v>
      </c>
      <c r="D10" s="14" t="s">
        <v>424</v>
      </c>
      <c r="E10" s="14" t="s">
        <v>425</v>
      </c>
      <c r="F10" s="12" t="s">
        <v>426</v>
      </c>
      <c r="G10" s="47" t="s">
        <v>427</v>
      </c>
      <c r="H10" s="20" t="s">
        <v>428</v>
      </c>
      <c r="I10" s="87" t="s">
        <v>429</v>
      </c>
    </row>
    <row r="11" spans="1:9" ht="70.5" customHeight="1" x14ac:dyDescent="0.25">
      <c r="B11" s="13" t="s">
        <v>204</v>
      </c>
      <c r="C11" s="19" t="s">
        <v>223</v>
      </c>
      <c r="D11" s="14" t="s">
        <v>430</v>
      </c>
      <c r="E11" s="14" t="s">
        <v>431</v>
      </c>
      <c r="F11" s="12" t="s">
        <v>432</v>
      </c>
      <c r="G11" s="47" t="s">
        <v>433</v>
      </c>
      <c r="H11" s="24" t="s">
        <v>434</v>
      </c>
      <c r="I11" s="87" t="s">
        <v>435</v>
      </c>
    </row>
    <row r="12" spans="1:9" ht="102" customHeight="1" x14ac:dyDescent="0.25">
      <c r="B12" s="13" t="s">
        <v>204</v>
      </c>
      <c r="C12" s="19" t="s">
        <v>263</v>
      </c>
      <c r="D12" s="14" t="s">
        <v>436</v>
      </c>
      <c r="E12" s="14" t="s">
        <v>437</v>
      </c>
      <c r="F12" s="12" t="s">
        <v>438</v>
      </c>
      <c r="G12" s="47" t="s">
        <v>410</v>
      </c>
      <c r="H12" s="20" t="s">
        <v>428</v>
      </c>
    </row>
    <row r="13" spans="1:9" ht="111" customHeight="1" x14ac:dyDescent="0.25">
      <c r="B13" s="13" t="s">
        <v>223</v>
      </c>
      <c r="C13" s="19" t="s">
        <v>263</v>
      </c>
      <c r="D13" s="14" t="s">
        <v>439</v>
      </c>
      <c r="E13" s="14" t="s">
        <v>440</v>
      </c>
      <c r="F13" s="12" t="s">
        <v>441</v>
      </c>
      <c r="G13" s="47" t="s">
        <v>442</v>
      </c>
      <c r="H13" s="11" t="s">
        <v>443</v>
      </c>
    </row>
    <row r="14" spans="1:9" ht="99" customHeight="1" x14ac:dyDescent="0.25">
      <c r="B14" s="13" t="s">
        <v>263</v>
      </c>
      <c r="C14" s="19" t="s">
        <v>204</v>
      </c>
      <c r="D14" s="14" t="s">
        <v>444</v>
      </c>
      <c r="E14" s="14" t="s">
        <v>445</v>
      </c>
      <c r="F14" s="12" t="s">
        <v>446</v>
      </c>
      <c r="G14" s="47" t="s">
        <v>447</v>
      </c>
      <c r="H14" s="22" t="s">
        <v>405</v>
      </c>
    </row>
    <row r="15" spans="1:9" ht="79.5" customHeight="1" x14ac:dyDescent="0.25">
      <c r="B15" s="13" t="s">
        <v>263</v>
      </c>
      <c r="C15" s="19" t="s">
        <v>272</v>
      </c>
      <c r="D15" s="14" t="s">
        <v>448</v>
      </c>
      <c r="E15" s="14" t="s">
        <v>449</v>
      </c>
      <c r="F15" s="12" t="s">
        <v>450</v>
      </c>
      <c r="G15" s="47" t="s">
        <v>451</v>
      </c>
      <c r="H15" s="24" t="s">
        <v>394</v>
      </c>
    </row>
    <row r="16" spans="1:9" ht="49.5" customHeight="1" x14ac:dyDescent="0.25">
      <c r="B16" s="13" t="s">
        <v>263</v>
      </c>
      <c r="C16" s="19" t="s">
        <v>197</v>
      </c>
      <c r="D16" s="14" t="s">
        <v>452</v>
      </c>
      <c r="E16" s="14" t="s">
        <v>453</v>
      </c>
      <c r="F16" s="12" t="s">
        <v>454</v>
      </c>
      <c r="G16" s="47" t="s">
        <v>416</v>
      </c>
      <c r="H16" s="11" t="s">
        <v>394</v>
      </c>
    </row>
    <row r="17" spans="1:8" ht="45.75" customHeight="1" x14ac:dyDescent="0.25">
      <c r="B17" s="13" t="s">
        <v>204</v>
      </c>
      <c r="C17" s="19" t="s">
        <v>272</v>
      </c>
      <c r="D17" s="14" t="s">
        <v>455</v>
      </c>
      <c r="E17" s="14" t="s">
        <v>456</v>
      </c>
      <c r="F17" s="12" t="s">
        <v>457</v>
      </c>
      <c r="G17" s="47" t="s">
        <v>458</v>
      </c>
      <c r="H17" s="24" t="s">
        <v>428</v>
      </c>
    </row>
    <row r="18" spans="1:8" ht="52.5" customHeight="1" x14ac:dyDescent="0.25">
      <c r="B18" s="13" t="s">
        <v>204</v>
      </c>
      <c r="C18" s="19" t="s">
        <v>197</v>
      </c>
      <c r="D18" s="14" t="s">
        <v>459</v>
      </c>
      <c r="E18" s="14" t="s">
        <v>460</v>
      </c>
      <c r="F18" s="12" t="s">
        <v>454</v>
      </c>
      <c r="G18" s="47" t="s">
        <v>461</v>
      </c>
      <c r="H18" s="20" t="s">
        <v>428</v>
      </c>
    </row>
    <row r="19" spans="1:8" ht="57" customHeight="1" x14ac:dyDescent="0.25">
      <c r="B19" s="13" t="s">
        <v>223</v>
      </c>
      <c r="C19" s="19" t="s">
        <v>230</v>
      </c>
      <c r="D19" s="14" t="s">
        <v>462</v>
      </c>
      <c r="E19" s="14" t="s">
        <v>463</v>
      </c>
      <c r="F19" s="12" t="s">
        <v>464</v>
      </c>
      <c r="G19" s="47" t="s">
        <v>465</v>
      </c>
      <c r="H19" s="24" t="s">
        <v>443</v>
      </c>
    </row>
    <row r="20" spans="1:8" ht="67.5" customHeight="1" x14ac:dyDescent="0.25">
      <c r="B20" s="13" t="s">
        <v>230</v>
      </c>
      <c r="C20" s="19" t="s">
        <v>238</v>
      </c>
      <c r="D20" s="14" t="s">
        <v>466</v>
      </c>
      <c r="E20" s="14" t="s">
        <v>467</v>
      </c>
      <c r="F20" s="12" t="s">
        <v>468</v>
      </c>
      <c r="G20" s="47" t="s">
        <v>469</v>
      </c>
      <c r="H20" s="11" t="s">
        <v>470</v>
      </c>
    </row>
    <row r="21" spans="1:8" ht="65.25" customHeight="1" x14ac:dyDescent="0.25">
      <c r="B21" s="13" t="s">
        <v>230</v>
      </c>
      <c r="C21" s="19" t="s">
        <v>204</v>
      </c>
      <c r="D21" s="14" t="s">
        <v>471</v>
      </c>
      <c r="E21" s="14" t="s">
        <v>472</v>
      </c>
      <c r="F21" s="12" t="s">
        <v>473</v>
      </c>
      <c r="G21" s="47" t="s">
        <v>404</v>
      </c>
      <c r="H21" s="24" t="s">
        <v>405</v>
      </c>
    </row>
    <row r="22" spans="1:8" ht="58.5" customHeight="1" x14ac:dyDescent="0.25">
      <c r="B22" s="13" t="s">
        <v>238</v>
      </c>
      <c r="C22" s="19" t="s">
        <v>245</v>
      </c>
      <c r="D22" s="14" t="s">
        <v>474</v>
      </c>
      <c r="E22" s="14" t="s">
        <v>475</v>
      </c>
      <c r="F22" s="12" t="s">
        <v>476</v>
      </c>
      <c r="G22" s="47" t="s">
        <v>477</v>
      </c>
      <c r="H22" s="11" t="s">
        <v>417</v>
      </c>
    </row>
    <row r="23" spans="1:8" ht="96.75" customHeight="1" x14ac:dyDescent="0.25">
      <c r="B23" s="13" t="s">
        <v>245</v>
      </c>
      <c r="C23" s="19" t="s">
        <v>204</v>
      </c>
      <c r="D23" s="14" t="s">
        <v>478</v>
      </c>
      <c r="E23" s="14" t="s">
        <v>479</v>
      </c>
      <c r="F23" s="12" t="s">
        <v>480</v>
      </c>
      <c r="G23" s="47" t="s">
        <v>481</v>
      </c>
      <c r="H23" s="24" t="s">
        <v>482</v>
      </c>
    </row>
    <row r="24" spans="1:8" ht="61.5" customHeight="1" x14ac:dyDescent="0.25">
      <c r="B24" s="13" t="s">
        <v>272</v>
      </c>
      <c r="C24" s="19" t="s">
        <v>197</v>
      </c>
      <c r="D24" s="14" t="s">
        <v>483</v>
      </c>
      <c r="E24" s="14" t="s">
        <v>484</v>
      </c>
      <c r="F24" s="12" t="s">
        <v>485</v>
      </c>
      <c r="G24" s="47" t="s">
        <v>486</v>
      </c>
      <c r="H24" s="11" t="s">
        <v>394</v>
      </c>
    </row>
    <row r="26" spans="1:8" ht="18" customHeight="1" x14ac:dyDescent="0.25">
      <c r="A26" s="138" t="s">
        <v>487</v>
      </c>
      <c r="B26" s="138"/>
      <c r="C26" s="138"/>
      <c r="D26" s="138"/>
      <c r="E26" s="138"/>
      <c r="F26" s="138"/>
      <c r="G26" s="138"/>
      <c r="H26" s="138"/>
    </row>
    <row r="27" spans="1:8" ht="15" customHeight="1" x14ac:dyDescent="0.25">
      <c r="B27" s="3" t="s">
        <v>488</v>
      </c>
      <c r="C27" s="3" t="s">
        <v>489</v>
      </c>
      <c r="D27" s="3" t="s">
        <v>490</v>
      </c>
      <c r="E27" s="3" t="s">
        <v>491</v>
      </c>
      <c r="F27" s="3" t="s">
        <v>492</v>
      </c>
      <c r="G27" s="3" t="s">
        <v>493</v>
      </c>
      <c r="H27" s="3" t="s">
        <v>494</v>
      </c>
    </row>
    <row r="28" spans="1:8" ht="25.5" customHeight="1" x14ac:dyDescent="0.25">
      <c r="B28" s="4" t="s">
        <v>495</v>
      </c>
      <c r="C28" s="11" t="s">
        <v>496</v>
      </c>
      <c r="D28" s="48" t="s">
        <v>497</v>
      </c>
      <c r="E28" s="14" t="s">
        <v>498</v>
      </c>
      <c r="F28" s="14" t="s">
        <v>499</v>
      </c>
      <c r="G28" s="47" t="s">
        <v>197</v>
      </c>
      <c r="H28" s="11" t="s">
        <v>500</v>
      </c>
    </row>
    <row r="29" spans="1:8" ht="25.5" customHeight="1" x14ac:dyDescent="0.25">
      <c r="B29" s="4" t="s">
        <v>501</v>
      </c>
      <c r="C29" s="11" t="s">
        <v>496</v>
      </c>
      <c r="D29" s="48" t="s">
        <v>497</v>
      </c>
      <c r="E29" s="14" t="s">
        <v>502</v>
      </c>
      <c r="F29" s="14" t="s">
        <v>503</v>
      </c>
      <c r="G29" s="47" t="s">
        <v>504</v>
      </c>
      <c r="H29" s="24" t="s">
        <v>505</v>
      </c>
    </row>
    <row r="30" spans="1:8" ht="25.5" customHeight="1" x14ac:dyDescent="0.25">
      <c r="B30" s="4" t="s">
        <v>506</v>
      </c>
      <c r="C30" s="11" t="s">
        <v>496</v>
      </c>
      <c r="D30" s="48" t="s">
        <v>497</v>
      </c>
      <c r="E30" s="14" t="s">
        <v>507</v>
      </c>
      <c r="F30" s="14" t="s">
        <v>508</v>
      </c>
      <c r="G30" s="47" t="s">
        <v>509</v>
      </c>
      <c r="H30" s="11" t="s">
        <v>510</v>
      </c>
    </row>
    <row r="31" spans="1:8" ht="25.5" customHeight="1" x14ac:dyDescent="0.25">
      <c r="B31" s="4" t="s">
        <v>511</v>
      </c>
      <c r="C31" s="11" t="s">
        <v>496</v>
      </c>
      <c r="D31" s="48" t="s">
        <v>497</v>
      </c>
      <c r="E31" s="14" t="s">
        <v>512</v>
      </c>
      <c r="F31" s="14" t="s">
        <v>513</v>
      </c>
      <c r="G31" s="47" t="s">
        <v>514</v>
      </c>
      <c r="H31" s="24" t="s">
        <v>515</v>
      </c>
    </row>
    <row r="32" spans="1:8" ht="25.5" customHeight="1" x14ac:dyDescent="0.25">
      <c r="B32" s="4" t="s">
        <v>516</v>
      </c>
      <c r="C32" s="11" t="s">
        <v>496</v>
      </c>
      <c r="D32" s="48" t="s">
        <v>497</v>
      </c>
      <c r="E32" s="14" t="s">
        <v>517</v>
      </c>
      <c r="F32" s="14" t="s">
        <v>518</v>
      </c>
      <c r="G32" s="47" t="s">
        <v>519</v>
      </c>
      <c r="H32" s="11" t="s">
        <v>520</v>
      </c>
    </row>
    <row r="33" spans="1:8" ht="25.5" customHeight="1" x14ac:dyDescent="0.25">
      <c r="B33" s="4" t="s">
        <v>521</v>
      </c>
      <c r="C33" s="11" t="s">
        <v>496</v>
      </c>
      <c r="D33" s="48" t="s">
        <v>522</v>
      </c>
      <c r="E33" s="14" t="s">
        <v>523</v>
      </c>
      <c r="F33" s="14" t="s">
        <v>524</v>
      </c>
      <c r="G33" s="47" t="s">
        <v>204</v>
      </c>
      <c r="H33" s="24" t="s">
        <v>525</v>
      </c>
    </row>
    <row r="34" spans="1:8" ht="25.5" customHeight="1" x14ac:dyDescent="0.25">
      <c r="B34" s="4" t="s">
        <v>526</v>
      </c>
      <c r="C34" s="11" t="s">
        <v>496</v>
      </c>
      <c r="D34" s="48" t="s">
        <v>527</v>
      </c>
      <c r="E34" s="14" t="s">
        <v>528</v>
      </c>
      <c r="F34" s="14" t="s">
        <v>529</v>
      </c>
      <c r="G34" s="47" t="s">
        <v>245</v>
      </c>
      <c r="H34" s="11" t="s">
        <v>530</v>
      </c>
    </row>
    <row r="35" spans="1:8" ht="25.5" customHeight="1" x14ac:dyDescent="0.25">
      <c r="B35" s="4" t="s">
        <v>531</v>
      </c>
      <c r="C35" s="11" t="s">
        <v>532</v>
      </c>
      <c r="D35" s="48" t="s">
        <v>533</v>
      </c>
      <c r="E35" s="14" t="s">
        <v>534</v>
      </c>
      <c r="F35" s="14" t="s">
        <v>535</v>
      </c>
      <c r="G35" s="47" t="s">
        <v>519</v>
      </c>
      <c r="H35" s="24" t="s">
        <v>536</v>
      </c>
    </row>
    <row r="36" spans="1:8" ht="25.5" customHeight="1" x14ac:dyDescent="0.25">
      <c r="B36" s="4" t="s">
        <v>537</v>
      </c>
      <c r="C36" s="11" t="s">
        <v>532</v>
      </c>
      <c r="D36" s="48" t="s">
        <v>533</v>
      </c>
      <c r="E36" s="14" t="s">
        <v>538</v>
      </c>
      <c r="F36" s="14" t="s">
        <v>513</v>
      </c>
      <c r="G36" s="47" t="s">
        <v>514</v>
      </c>
      <c r="H36" s="11" t="s">
        <v>539</v>
      </c>
    </row>
    <row r="37" spans="1:8" ht="25.5" customHeight="1" x14ac:dyDescent="0.25">
      <c r="B37" s="4" t="s">
        <v>540</v>
      </c>
      <c r="C37" s="11" t="s">
        <v>532</v>
      </c>
      <c r="D37" s="48" t="s">
        <v>533</v>
      </c>
      <c r="E37" s="14" t="s">
        <v>541</v>
      </c>
      <c r="F37" s="14" t="s">
        <v>542</v>
      </c>
      <c r="G37" s="47" t="s">
        <v>543</v>
      </c>
      <c r="H37" s="24" t="s">
        <v>544</v>
      </c>
    </row>
    <row r="38" spans="1:8" ht="25.5" customHeight="1" x14ac:dyDescent="0.25">
      <c r="B38" s="4" t="s">
        <v>545</v>
      </c>
      <c r="C38" s="11" t="s">
        <v>532</v>
      </c>
      <c r="D38" s="48" t="s">
        <v>533</v>
      </c>
      <c r="E38" s="14" t="s">
        <v>546</v>
      </c>
      <c r="F38" s="14" t="s">
        <v>547</v>
      </c>
      <c r="G38" s="47" t="s">
        <v>548</v>
      </c>
      <c r="H38" s="11" t="s">
        <v>549</v>
      </c>
    </row>
    <row r="40" spans="1:8" s="2" customFormat="1" ht="18" customHeight="1" x14ac:dyDescent="0.25">
      <c r="A40" s="141" t="s">
        <v>550</v>
      </c>
      <c r="B40" s="141"/>
      <c r="C40" s="141"/>
      <c r="D40" s="141"/>
      <c r="E40" s="141"/>
      <c r="F40" s="141"/>
      <c r="G40" s="23"/>
      <c r="H40" s="23"/>
    </row>
    <row r="41" spans="1:8" ht="15" customHeight="1" x14ac:dyDescent="0.25">
      <c r="B41" s="3" t="s">
        <v>551</v>
      </c>
      <c r="C41" s="3" t="s">
        <v>552</v>
      </c>
      <c r="D41" s="3" t="s">
        <v>53</v>
      </c>
      <c r="E41" s="3" t="s">
        <v>553</v>
      </c>
      <c r="F41" s="3" t="s">
        <v>494</v>
      </c>
    </row>
    <row r="42" spans="1:8" ht="18" customHeight="1" x14ac:dyDescent="0.25">
      <c r="B42" s="4" t="s">
        <v>57</v>
      </c>
      <c r="C42" s="47" t="s">
        <v>57</v>
      </c>
      <c r="D42" s="19" t="s">
        <v>59</v>
      </c>
      <c r="E42" s="12" t="s">
        <v>554</v>
      </c>
      <c r="F42" s="11" t="s">
        <v>555</v>
      </c>
    </row>
    <row r="43" spans="1:8" ht="18" customHeight="1" x14ac:dyDescent="0.25">
      <c r="B43" s="4" t="s">
        <v>63</v>
      </c>
      <c r="C43" s="47" t="s">
        <v>63</v>
      </c>
      <c r="D43" s="19" t="s">
        <v>59</v>
      </c>
      <c r="E43" s="12" t="s">
        <v>556</v>
      </c>
      <c r="F43" s="24" t="s">
        <v>557</v>
      </c>
    </row>
    <row r="44" spans="1:8" ht="18" customHeight="1" x14ac:dyDescent="0.25">
      <c r="B44" s="4" t="s">
        <v>67</v>
      </c>
      <c r="C44" s="47" t="s">
        <v>67</v>
      </c>
      <c r="D44" s="19" t="s">
        <v>59</v>
      </c>
      <c r="E44" s="12" t="s">
        <v>558</v>
      </c>
      <c r="F44" s="11" t="s">
        <v>559</v>
      </c>
    </row>
    <row r="45" spans="1:8" ht="18" customHeight="1" x14ac:dyDescent="0.25">
      <c r="B45" s="4" t="s">
        <v>71</v>
      </c>
      <c r="C45" s="47" t="s">
        <v>71</v>
      </c>
      <c r="D45" s="19" t="s">
        <v>73</v>
      </c>
      <c r="E45" s="12" t="s">
        <v>952</v>
      </c>
      <c r="F45" s="24" t="s">
        <v>560</v>
      </c>
    </row>
    <row r="46" spans="1:8" ht="18" customHeight="1" x14ac:dyDescent="0.25">
      <c r="B46" s="4" t="s">
        <v>75</v>
      </c>
      <c r="C46" s="47" t="s">
        <v>75</v>
      </c>
      <c r="D46" s="19" t="s">
        <v>73</v>
      </c>
      <c r="E46" s="12" t="s">
        <v>953</v>
      </c>
      <c r="F46" s="11" t="s">
        <v>561</v>
      </c>
    </row>
    <row r="47" spans="1:8" ht="18" customHeight="1" x14ac:dyDescent="0.25">
      <c r="B47" s="4" t="s">
        <v>77</v>
      </c>
      <c r="C47" s="47" t="s">
        <v>77</v>
      </c>
      <c r="D47" s="19" t="s">
        <v>59</v>
      </c>
      <c r="E47" s="12" t="s">
        <v>562</v>
      </c>
      <c r="F47" s="24" t="s">
        <v>563</v>
      </c>
    </row>
    <row r="48" spans="1:8" ht="18" customHeight="1" x14ac:dyDescent="0.25">
      <c r="B48" s="4" t="s">
        <v>81</v>
      </c>
      <c r="C48" s="47" t="s">
        <v>81</v>
      </c>
      <c r="D48" s="19" t="s">
        <v>73</v>
      </c>
      <c r="E48" s="12" t="s">
        <v>564</v>
      </c>
      <c r="F48" s="11" t="s">
        <v>565</v>
      </c>
    </row>
    <row r="49" spans="2:6" ht="18" customHeight="1" x14ac:dyDescent="0.25">
      <c r="B49" s="4" t="s">
        <v>86</v>
      </c>
      <c r="C49" s="47" t="s">
        <v>86</v>
      </c>
      <c r="D49" s="19" t="s">
        <v>59</v>
      </c>
      <c r="E49" s="12" t="s">
        <v>88</v>
      </c>
      <c r="F49" s="24" t="s">
        <v>566</v>
      </c>
    </row>
    <row r="50" spans="2:6" ht="18" customHeight="1" x14ac:dyDescent="0.25">
      <c r="B50" s="4" t="s">
        <v>90</v>
      </c>
      <c r="C50" s="47" t="s">
        <v>90</v>
      </c>
      <c r="D50" s="19" t="s">
        <v>73</v>
      </c>
      <c r="E50" s="12" t="s">
        <v>951</v>
      </c>
      <c r="F50" s="11" t="s">
        <v>954</v>
      </c>
    </row>
    <row r="51" spans="2:6" ht="18" customHeight="1" x14ac:dyDescent="0.25">
      <c r="B51" s="4" t="s">
        <v>93</v>
      </c>
      <c r="C51" s="47" t="s">
        <v>93</v>
      </c>
      <c r="D51" s="19" t="s">
        <v>59</v>
      </c>
      <c r="E51" s="12" t="s">
        <v>567</v>
      </c>
      <c r="F51" s="24" t="s">
        <v>568</v>
      </c>
    </row>
    <row r="52" spans="2:6" ht="18" customHeight="1" x14ac:dyDescent="0.25">
      <c r="B52" s="4" t="s">
        <v>102</v>
      </c>
      <c r="C52" s="47" t="s">
        <v>111</v>
      </c>
      <c r="D52" s="19" t="s">
        <v>73</v>
      </c>
      <c r="E52" s="12" t="s">
        <v>955</v>
      </c>
      <c r="F52" s="11" t="s">
        <v>569</v>
      </c>
    </row>
    <row r="53" spans="2:6" ht="18" customHeight="1" x14ac:dyDescent="0.25">
      <c r="B53" s="4" t="s">
        <v>106</v>
      </c>
      <c r="C53" s="47" t="s">
        <v>107</v>
      </c>
      <c r="D53" s="19" t="s">
        <v>73</v>
      </c>
      <c r="E53" s="12" t="s">
        <v>956</v>
      </c>
      <c r="F53" s="24" t="s">
        <v>570</v>
      </c>
    </row>
    <row r="54" spans="2:6" ht="18" customHeight="1" x14ac:dyDescent="0.25">
      <c r="B54" s="4" t="s">
        <v>97</v>
      </c>
      <c r="C54" s="47" t="s">
        <v>97</v>
      </c>
      <c r="D54" s="19" t="s">
        <v>73</v>
      </c>
      <c r="E54" s="12" t="s">
        <v>571</v>
      </c>
      <c r="F54" s="11" t="s">
        <v>572</v>
      </c>
    </row>
    <row r="55" spans="2:6" ht="18" customHeight="1" x14ac:dyDescent="0.25">
      <c r="B55" s="4" t="s">
        <v>110</v>
      </c>
      <c r="C55" s="47" t="s">
        <v>110</v>
      </c>
      <c r="D55" s="19" t="s">
        <v>73</v>
      </c>
      <c r="E55" s="12" t="s">
        <v>573</v>
      </c>
      <c r="F55" s="24" t="s">
        <v>574</v>
      </c>
    </row>
    <row r="56" spans="2:6" ht="18" customHeight="1" x14ac:dyDescent="0.25">
      <c r="B56" s="4" t="s">
        <v>113</v>
      </c>
      <c r="C56" s="47" t="s">
        <v>113</v>
      </c>
      <c r="D56" s="19" t="s">
        <v>73</v>
      </c>
      <c r="E56" s="12" t="s">
        <v>575</v>
      </c>
      <c r="F56" s="11" t="s">
        <v>576</v>
      </c>
    </row>
  </sheetData>
  <mergeCells count="4">
    <mergeCell ref="A26:H26"/>
    <mergeCell ref="A40:F40"/>
    <mergeCell ref="A2:I2"/>
    <mergeCell ref="A1:I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2"/>
  <sheetViews>
    <sheetView topLeftCell="A39" zoomScale="85" zoomScaleNormal="85" workbookViewId="0">
      <selection activeCell="K31" sqref="K31"/>
    </sheetView>
  </sheetViews>
  <sheetFormatPr defaultColWidth="8.7109375" defaultRowHeight="15" x14ac:dyDescent="0.25"/>
  <cols>
    <col min="1" max="1" width="28" style="99" customWidth="1"/>
    <col min="2" max="5" width="14" style="99" customWidth="1"/>
    <col min="6" max="10" width="18" style="99" customWidth="1"/>
    <col min="11" max="16384" width="8.7109375" style="99"/>
  </cols>
  <sheetData>
    <row r="1" spans="1:10" ht="30" customHeight="1" x14ac:dyDescent="0.25">
      <c r="A1" s="188" t="s">
        <v>577</v>
      </c>
      <c r="B1" s="189"/>
      <c r="C1" s="189"/>
      <c r="D1" s="189"/>
      <c r="E1" s="189"/>
      <c r="F1" s="189"/>
      <c r="G1" s="189"/>
      <c r="H1" s="189"/>
      <c r="I1" s="189"/>
    </row>
    <row r="2" spans="1:10" ht="27.75" customHeight="1" x14ac:dyDescent="0.25">
      <c r="A2" s="190" t="s">
        <v>578</v>
      </c>
      <c r="B2" s="191"/>
      <c r="C2" s="191"/>
      <c r="D2" s="191"/>
      <c r="E2" s="191"/>
      <c r="F2" s="191"/>
      <c r="G2" s="191"/>
      <c r="H2" s="191"/>
      <c r="I2" s="191"/>
    </row>
    <row r="4" spans="1:10" ht="21.75" customHeight="1" x14ac:dyDescent="0.25">
      <c r="A4" s="171" t="s">
        <v>579</v>
      </c>
      <c r="B4" s="172"/>
      <c r="C4" s="172"/>
      <c r="D4" s="172"/>
      <c r="E4" s="172"/>
      <c r="F4" s="172"/>
      <c r="G4" s="172"/>
      <c r="H4" s="172"/>
      <c r="I4" s="172"/>
    </row>
    <row r="5" spans="1:10" ht="21.75" customHeight="1" x14ac:dyDescent="0.25">
      <c r="A5" s="109" t="s">
        <v>580</v>
      </c>
      <c r="B5" s="185" t="s">
        <v>581</v>
      </c>
      <c r="C5" s="185"/>
      <c r="D5" s="185" t="s">
        <v>582</v>
      </c>
      <c r="E5" s="185"/>
      <c r="F5" s="110"/>
      <c r="G5" s="185" t="s">
        <v>56</v>
      </c>
      <c r="H5" s="185"/>
      <c r="I5" s="185"/>
    </row>
    <row r="6" spans="1:10" ht="36" customHeight="1" x14ac:dyDescent="0.25">
      <c r="A6" s="111" t="s">
        <v>583</v>
      </c>
      <c r="B6" s="182" t="s">
        <v>584</v>
      </c>
      <c r="C6" s="182"/>
      <c r="D6" s="192" t="s">
        <v>585</v>
      </c>
      <c r="E6" s="192"/>
      <c r="F6" s="110"/>
      <c r="G6" s="183" t="s">
        <v>586</v>
      </c>
      <c r="H6" s="183"/>
      <c r="I6" s="183"/>
    </row>
    <row r="7" spans="1:10" ht="36" customHeight="1" x14ac:dyDescent="0.25">
      <c r="A7" s="112" t="s">
        <v>587</v>
      </c>
      <c r="B7" s="182" t="s">
        <v>588</v>
      </c>
      <c r="C7" s="182"/>
      <c r="D7" s="192" t="s">
        <v>589</v>
      </c>
      <c r="E7" s="192"/>
      <c r="F7" s="110"/>
      <c r="G7" s="184" t="s">
        <v>590</v>
      </c>
      <c r="H7" s="184"/>
      <c r="I7" s="184"/>
    </row>
    <row r="8" spans="1:10" ht="36" customHeight="1" x14ac:dyDescent="0.25">
      <c r="A8" s="111" t="s">
        <v>591</v>
      </c>
      <c r="B8" s="182" t="s">
        <v>592</v>
      </c>
      <c r="C8" s="182"/>
      <c r="D8" s="192" t="s">
        <v>593</v>
      </c>
      <c r="E8" s="192"/>
      <c r="F8" s="110"/>
      <c r="G8" s="183" t="s">
        <v>594</v>
      </c>
      <c r="H8" s="183"/>
      <c r="I8" s="183"/>
    </row>
    <row r="9" spans="1:10" ht="36" customHeight="1" x14ac:dyDescent="0.25">
      <c r="A9" s="112" t="s">
        <v>595</v>
      </c>
      <c r="B9" s="182" t="s">
        <v>596</v>
      </c>
      <c r="C9" s="182"/>
      <c r="D9" s="192" t="s">
        <v>597</v>
      </c>
      <c r="E9" s="192"/>
      <c r="F9" s="110"/>
      <c r="G9" s="184" t="s">
        <v>598</v>
      </c>
      <c r="H9" s="184"/>
      <c r="I9" s="184"/>
    </row>
    <row r="10" spans="1:10" ht="36" customHeight="1" x14ac:dyDescent="0.25">
      <c r="A10" s="111" t="s">
        <v>599</v>
      </c>
      <c r="B10" s="182" t="s">
        <v>600</v>
      </c>
      <c r="C10" s="182"/>
      <c r="D10" s="192" t="s">
        <v>601</v>
      </c>
      <c r="E10" s="192"/>
      <c r="F10" s="110"/>
      <c r="G10" s="183" t="s">
        <v>602</v>
      </c>
      <c r="H10" s="183"/>
      <c r="I10" s="183"/>
    </row>
    <row r="12" spans="1:10" ht="21.75" customHeight="1" x14ac:dyDescent="0.25">
      <c r="A12" s="186" t="s">
        <v>603</v>
      </c>
      <c r="B12" s="187"/>
      <c r="C12" s="187"/>
      <c r="D12" s="187"/>
      <c r="E12" s="187"/>
      <c r="F12" s="187"/>
      <c r="G12" s="187"/>
      <c r="H12" s="187"/>
      <c r="I12" s="187"/>
      <c r="J12" s="187"/>
    </row>
    <row r="13" spans="1:10" ht="19.5" customHeight="1" x14ac:dyDescent="0.25">
      <c r="A13" s="50" t="s">
        <v>604</v>
      </c>
      <c r="B13" s="51" t="s">
        <v>605</v>
      </c>
      <c r="C13" s="51" t="s">
        <v>606</v>
      </c>
      <c r="D13" s="51" t="s">
        <v>607</v>
      </c>
      <c r="E13" s="51" t="s">
        <v>608</v>
      </c>
      <c r="F13" s="51" t="s">
        <v>609</v>
      </c>
      <c r="G13" s="51" t="s">
        <v>610</v>
      </c>
      <c r="H13" s="51" t="s">
        <v>611</v>
      </c>
      <c r="I13" s="51" t="s">
        <v>612</v>
      </c>
      <c r="J13" s="51" t="s">
        <v>613</v>
      </c>
    </row>
    <row r="14" spans="1:10" ht="19.5" customHeight="1" x14ac:dyDescent="0.25">
      <c r="A14" s="52" t="s">
        <v>614</v>
      </c>
      <c r="B14" s="53" t="s">
        <v>615</v>
      </c>
      <c r="C14" s="53" t="s">
        <v>615</v>
      </c>
      <c r="D14" s="53" t="s">
        <v>616</v>
      </c>
      <c r="E14" s="53" t="s">
        <v>615</v>
      </c>
      <c r="F14" s="53" t="s">
        <v>616</v>
      </c>
      <c r="G14" s="53" t="s">
        <v>616</v>
      </c>
      <c r="H14" s="53" t="s">
        <v>616</v>
      </c>
      <c r="I14" s="53" t="s">
        <v>615</v>
      </c>
      <c r="J14" s="53" t="s">
        <v>616</v>
      </c>
    </row>
    <row r="15" spans="1:10" ht="19.5" customHeight="1" x14ac:dyDescent="0.25">
      <c r="A15" s="50" t="s">
        <v>617</v>
      </c>
      <c r="B15" s="54" t="s">
        <v>618</v>
      </c>
      <c r="C15" s="54" t="s">
        <v>618</v>
      </c>
      <c r="D15" s="55" t="s">
        <v>619</v>
      </c>
      <c r="E15" s="54" t="s">
        <v>618</v>
      </c>
      <c r="F15" s="56" t="s">
        <v>620</v>
      </c>
      <c r="G15" s="56" t="s">
        <v>620</v>
      </c>
      <c r="H15" s="56" t="s">
        <v>620</v>
      </c>
      <c r="I15" s="55" t="s">
        <v>621</v>
      </c>
      <c r="J15" s="56" t="s">
        <v>620</v>
      </c>
    </row>
    <row r="16" spans="1:10" ht="19.5" customHeight="1" x14ac:dyDescent="0.25">
      <c r="A16" s="52" t="s">
        <v>622</v>
      </c>
      <c r="B16" s="53" t="s">
        <v>615</v>
      </c>
      <c r="C16" s="53" t="s">
        <v>616</v>
      </c>
      <c r="D16" s="53" t="s">
        <v>615</v>
      </c>
      <c r="E16" s="53" t="s">
        <v>615</v>
      </c>
      <c r="F16" s="53" t="s">
        <v>616</v>
      </c>
      <c r="G16" s="53" t="s">
        <v>623</v>
      </c>
      <c r="H16" s="53" t="s">
        <v>624</v>
      </c>
      <c r="I16" s="53" t="s">
        <v>615</v>
      </c>
      <c r="J16" s="53" t="s">
        <v>616</v>
      </c>
    </row>
    <row r="17" spans="1:10" ht="19.5" customHeight="1" x14ac:dyDescent="0.25">
      <c r="A17" s="50" t="s">
        <v>625</v>
      </c>
      <c r="B17" s="51" t="s">
        <v>615</v>
      </c>
      <c r="C17" s="51" t="s">
        <v>615</v>
      </c>
      <c r="D17" s="51" t="s">
        <v>615</v>
      </c>
      <c r="E17" s="51" t="s">
        <v>615</v>
      </c>
      <c r="F17" s="51" t="s">
        <v>615</v>
      </c>
      <c r="G17" s="51" t="s">
        <v>615</v>
      </c>
      <c r="H17" s="51" t="s">
        <v>616</v>
      </c>
      <c r="I17" s="51" t="s">
        <v>616</v>
      </c>
      <c r="J17" s="51" t="s">
        <v>616</v>
      </c>
    </row>
    <row r="18" spans="1:10" ht="19.5" customHeight="1" x14ac:dyDescent="0.25">
      <c r="A18" s="52" t="s">
        <v>56</v>
      </c>
      <c r="B18" s="53"/>
      <c r="C18" s="53"/>
      <c r="D18" s="57" t="s">
        <v>626</v>
      </c>
      <c r="E18" s="53"/>
      <c r="F18" s="53"/>
      <c r="G18" s="53"/>
      <c r="H18" s="58" t="s">
        <v>627</v>
      </c>
      <c r="I18" s="57" t="s">
        <v>626</v>
      </c>
      <c r="J18" s="53"/>
    </row>
    <row r="19" spans="1:10" ht="43.5" customHeight="1" x14ac:dyDescent="0.25">
      <c r="A19" s="173" t="s">
        <v>628</v>
      </c>
      <c r="B19" s="174"/>
      <c r="C19" s="174"/>
      <c r="D19" s="174"/>
      <c r="E19" s="174"/>
      <c r="F19" s="174"/>
      <c r="G19" s="174"/>
      <c r="H19" s="174"/>
      <c r="I19" s="174"/>
      <c r="J19" s="174"/>
    </row>
    <row r="21" spans="1:10" ht="21.75" customHeight="1" x14ac:dyDescent="0.25">
      <c r="A21" s="171" t="s">
        <v>629</v>
      </c>
      <c r="B21" s="172"/>
      <c r="C21" s="172"/>
      <c r="D21" s="172"/>
      <c r="E21" s="172"/>
      <c r="F21" s="172"/>
      <c r="G21" s="172"/>
      <c r="H21" s="172"/>
      <c r="I21" s="172"/>
      <c r="J21" s="172"/>
    </row>
    <row r="22" spans="1:10" ht="19.5" customHeight="1" x14ac:dyDescent="0.25">
      <c r="A22" s="159" t="s">
        <v>630</v>
      </c>
      <c r="B22" s="160"/>
      <c r="C22" s="160"/>
      <c r="D22" s="160"/>
      <c r="E22" s="160"/>
      <c r="F22" s="160"/>
      <c r="G22" s="160"/>
      <c r="H22" s="160"/>
      <c r="I22" s="160"/>
      <c r="J22" s="160"/>
    </row>
    <row r="23" spans="1:10" ht="54" customHeight="1" x14ac:dyDescent="0.25">
      <c r="A23" s="157" t="s">
        <v>631</v>
      </c>
      <c r="B23" s="158"/>
      <c r="C23" s="158"/>
      <c r="D23" s="158"/>
      <c r="E23" s="158"/>
      <c r="F23" s="158"/>
      <c r="G23" s="158"/>
      <c r="H23" s="158"/>
      <c r="I23" s="158"/>
      <c r="J23" s="158"/>
    </row>
    <row r="24" spans="1:10" ht="19.5" customHeight="1" x14ac:dyDescent="0.25">
      <c r="A24" s="159" t="s">
        <v>632</v>
      </c>
      <c r="B24" s="160"/>
      <c r="C24" s="160"/>
      <c r="D24" s="160"/>
      <c r="E24" s="160"/>
      <c r="F24" s="160"/>
      <c r="G24" s="160"/>
      <c r="H24" s="160"/>
      <c r="I24" s="160"/>
      <c r="J24" s="160"/>
    </row>
    <row r="25" spans="1:10" ht="54" customHeight="1" x14ac:dyDescent="0.25">
      <c r="A25" s="157" t="s">
        <v>633</v>
      </c>
      <c r="B25" s="158"/>
      <c r="C25" s="158"/>
      <c r="D25" s="158"/>
      <c r="E25" s="158"/>
      <c r="F25" s="158"/>
      <c r="G25" s="158"/>
      <c r="H25" s="158"/>
      <c r="I25" s="158"/>
      <c r="J25" s="158"/>
    </row>
    <row r="26" spans="1:10" ht="19.5" customHeight="1" x14ac:dyDescent="0.25">
      <c r="A26" s="159" t="s">
        <v>634</v>
      </c>
      <c r="B26" s="160"/>
      <c r="C26" s="160"/>
      <c r="D26" s="160"/>
      <c r="E26" s="160"/>
      <c r="F26" s="160"/>
      <c r="G26" s="160"/>
      <c r="H26" s="160"/>
      <c r="I26" s="160"/>
      <c r="J26" s="160"/>
    </row>
    <row r="27" spans="1:10" ht="79.5" customHeight="1" x14ac:dyDescent="0.25">
      <c r="A27" s="157" t="s">
        <v>635</v>
      </c>
      <c r="B27" s="158"/>
      <c r="C27" s="158"/>
      <c r="D27" s="158"/>
      <c r="E27" s="158"/>
      <c r="F27" s="158"/>
      <c r="G27" s="158"/>
      <c r="H27" s="158"/>
      <c r="I27" s="158"/>
      <c r="J27" s="158"/>
    </row>
    <row r="28" spans="1:10" ht="19.5" customHeight="1" x14ac:dyDescent="0.25">
      <c r="A28" s="159" t="s">
        <v>636</v>
      </c>
      <c r="B28" s="160"/>
      <c r="C28" s="160"/>
      <c r="D28" s="160"/>
      <c r="E28" s="160"/>
      <c r="F28" s="160"/>
      <c r="G28" s="160"/>
      <c r="H28" s="160"/>
      <c r="I28" s="160"/>
      <c r="J28" s="160"/>
    </row>
    <row r="29" spans="1:10" ht="54.95" customHeight="1" x14ac:dyDescent="0.25">
      <c r="A29" s="157" t="s">
        <v>637</v>
      </c>
      <c r="B29" s="158"/>
      <c r="C29" s="158"/>
      <c r="D29" s="158"/>
      <c r="E29" s="158"/>
      <c r="F29" s="158"/>
      <c r="G29" s="158"/>
      <c r="H29" s="158"/>
      <c r="I29" s="158"/>
      <c r="J29" s="158"/>
    </row>
    <row r="30" spans="1:10" ht="19.5" customHeight="1" x14ac:dyDescent="0.25">
      <c r="A30" s="159" t="s">
        <v>638</v>
      </c>
      <c r="B30" s="160"/>
      <c r="C30" s="160"/>
      <c r="D30" s="160"/>
      <c r="E30" s="160"/>
      <c r="F30" s="160"/>
      <c r="G30" s="160"/>
      <c r="H30" s="160"/>
      <c r="I30" s="160"/>
      <c r="J30" s="160"/>
    </row>
    <row r="31" spans="1:10" ht="54" customHeight="1" x14ac:dyDescent="0.25">
      <c r="A31" s="157" t="s">
        <v>639</v>
      </c>
      <c r="B31" s="158"/>
      <c r="C31" s="158"/>
      <c r="D31" s="158"/>
      <c r="E31" s="158"/>
      <c r="F31" s="158"/>
      <c r="G31" s="158"/>
      <c r="H31" s="158"/>
      <c r="I31" s="158"/>
      <c r="J31" s="158"/>
    </row>
    <row r="33" spans="1:9" ht="21.75" hidden="1" customHeight="1" x14ac:dyDescent="0.25">
      <c r="A33" s="89" t="s">
        <v>640</v>
      </c>
    </row>
    <row r="34" spans="1:9" ht="409.6" hidden="1" customHeight="1" x14ac:dyDescent="0.25">
      <c r="A34" s="104" t="s">
        <v>641</v>
      </c>
    </row>
    <row r="35" spans="1:9" x14ac:dyDescent="0.25">
      <c r="I35" s="81"/>
    </row>
    <row r="36" spans="1:9" ht="21.75" customHeight="1" x14ac:dyDescent="0.25">
      <c r="A36" s="171" t="s">
        <v>642</v>
      </c>
      <c r="B36" s="172"/>
      <c r="C36" s="172"/>
      <c r="D36" s="172"/>
      <c r="E36" s="172"/>
      <c r="F36" s="172"/>
      <c r="G36" s="172"/>
      <c r="H36" s="172"/>
    </row>
    <row r="37" spans="1:9" ht="30" customHeight="1" x14ac:dyDescent="0.25">
      <c r="A37" s="59" t="s">
        <v>643</v>
      </c>
      <c r="B37" s="59" t="s">
        <v>644</v>
      </c>
      <c r="C37" s="180" t="s">
        <v>645</v>
      </c>
      <c r="D37" s="156"/>
      <c r="E37" s="156" t="s">
        <v>646</v>
      </c>
      <c r="F37" s="156"/>
      <c r="G37" s="156" t="s">
        <v>647</v>
      </c>
      <c r="H37" s="156"/>
    </row>
    <row r="38" spans="1:9" ht="36" customHeight="1" x14ac:dyDescent="0.25">
      <c r="A38" s="105" t="s">
        <v>648</v>
      </c>
      <c r="B38" s="105" t="s">
        <v>649</v>
      </c>
      <c r="C38" s="177" t="s">
        <v>650</v>
      </c>
      <c r="D38" s="167"/>
      <c r="E38" s="167" t="s">
        <v>651</v>
      </c>
      <c r="F38" s="167"/>
      <c r="G38" s="169" t="s">
        <v>652</v>
      </c>
      <c r="H38" s="169"/>
    </row>
    <row r="39" spans="1:9" ht="36" customHeight="1" x14ac:dyDescent="0.25">
      <c r="A39" s="106" t="s">
        <v>653</v>
      </c>
      <c r="B39" s="107" t="s">
        <v>654</v>
      </c>
      <c r="C39" s="178" t="s">
        <v>655</v>
      </c>
      <c r="D39" s="179"/>
      <c r="E39" s="181" t="s">
        <v>656</v>
      </c>
      <c r="F39" s="181"/>
      <c r="G39" s="170" t="s">
        <v>657</v>
      </c>
      <c r="H39" s="170"/>
    </row>
    <row r="40" spans="1:9" ht="36" customHeight="1" x14ac:dyDescent="0.25">
      <c r="A40" s="105" t="s">
        <v>658</v>
      </c>
      <c r="B40" s="105" t="s">
        <v>659</v>
      </c>
      <c r="C40" s="177" t="s">
        <v>660</v>
      </c>
      <c r="D40" s="167"/>
      <c r="E40" s="167" t="s">
        <v>661</v>
      </c>
      <c r="F40" s="167"/>
      <c r="G40" s="169" t="s">
        <v>662</v>
      </c>
      <c r="H40" s="169"/>
    </row>
    <row r="41" spans="1:9" ht="36" customHeight="1" x14ac:dyDescent="0.25">
      <c r="A41" s="108" t="s">
        <v>663</v>
      </c>
      <c r="B41" s="108" t="s">
        <v>664</v>
      </c>
      <c r="C41" s="175" t="s">
        <v>665</v>
      </c>
      <c r="D41" s="176"/>
      <c r="E41" s="176" t="s">
        <v>666</v>
      </c>
      <c r="F41" s="176"/>
      <c r="G41" s="168" t="s">
        <v>667</v>
      </c>
      <c r="H41" s="168"/>
    </row>
    <row r="42" spans="1:9" ht="21.75" customHeight="1" x14ac:dyDescent="0.25">
      <c r="A42" s="171" t="s">
        <v>668</v>
      </c>
      <c r="B42" s="172"/>
      <c r="C42" s="172"/>
      <c r="D42" s="172"/>
      <c r="E42" s="172"/>
      <c r="F42" s="172"/>
      <c r="G42" s="172"/>
      <c r="H42" s="172"/>
    </row>
    <row r="43" spans="1:9" ht="18" customHeight="1" x14ac:dyDescent="0.25">
      <c r="A43" s="163" t="s">
        <v>669</v>
      </c>
      <c r="B43" s="164"/>
      <c r="C43" s="164"/>
      <c r="D43" s="164"/>
      <c r="E43" s="164"/>
      <c r="F43" s="164"/>
      <c r="G43" s="164"/>
      <c r="H43" s="164"/>
    </row>
    <row r="44" spans="1:9" ht="51.75" customHeight="1" x14ac:dyDescent="0.25">
      <c r="A44" s="161" t="s">
        <v>670</v>
      </c>
      <c r="B44" s="162"/>
      <c r="C44" s="162"/>
      <c r="D44" s="162"/>
      <c r="E44" s="162"/>
      <c r="F44" s="162"/>
      <c r="G44" s="162"/>
      <c r="H44" s="162"/>
    </row>
    <row r="45" spans="1:9" ht="18" customHeight="1" x14ac:dyDescent="0.25">
      <c r="A45" s="163" t="s">
        <v>671</v>
      </c>
      <c r="B45" s="164"/>
      <c r="C45" s="164"/>
      <c r="D45" s="164"/>
      <c r="E45" s="164"/>
      <c r="F45" s="164"/>
      <c r="G45" s="164"/>
      <c r="H45" s="164"/>
    </row>
    <row r="46" spans="1:9" ht="51.75" customHeight="1" x14ac:dyDescent="0.25">
      <c r="A46" s="165" t="s">
        <v>672</v>
      </c>
      <c r="B46" s="166"/>
      <c r="C46" s="166"/>
      <c r="D46" s="166"/>
      <c r="E46" s="166"/>
      <c r="F46" s="166"/>
      <c r="G46" s="166"/>
      <c r="H46" s="166"/>
    </row>
    <row r="47" spans="1:9" ht="18" customHeight="1" x14ac:dyDescent="0.25">
      <c r="A47" s="163" t="s">
        <v>673</v>
      </c>
      <c r="B47" s="164"/>
      <c r="C47" s="164"/>
      <c r="D47" s="164"/>
      <c r="E47" s="164"/>
      <c r="F47" s="164"/>
      <c r="G47" s="164"/>
      <c r="H47" s="164"/>
    </row>
    <row r="48" spans="1:9" ht="51.75" customHeight="1" x14ac:dyDescent="0.25">
      <c r="A48" s="161" t="s">
        <v>674</v>
      </c>
      <c r="B48" s="162"/>
      <c r="C48" s="162"/>
      <c r="D48" s="162"/>
      <c r="E48" s="162"/>
      <c r="F48" s="162"/>
      <c r="G48" s="162"/>
      <c r="H48" s="162"/>
    </row>
    <row r="49" spans="1:8" ht="18" customHeight="1" x14ac:dyDescent="0.25">
      <c r="A49" s="163" t="s">
        <v>675</v>
      </c>
      <c r="B49" s="164"/>
      <c r="C49" s="164"/>
      <c r="D49" s="164"/>
      <c r="E49" s="164"/>
      <c r="F49" s="164"/>
      <c r="G49" s="164"/>
      <c r="H49" s="164"/>
    </row>
    <row r="50" spans="1:8" ht="51.75" customHeight="1" x14ac:dyDescent="0.25">
      <c r="A50" s="165" t="s">
        <v>676</v>
      </c>
      <c r="B50" s="166"/>
      <c r="C50" s="166"/>
      <c r="D50" s="166"/>
      <c r="E50" s="166"/>
      <c r="F50" s="166"/>
      <c r="G50" s="166"/>
      <c r="H50" s="166"/>
    </row>
    <row r="51" spans="1:8" ht="18" customHeight="1" x14ac:dyDescent="0.25">
      <c r="A51" s="163" t="s">
        <v>677</v>
      </c>
      <c r="B51" s="164"/>
      <c r="C51" s="164"/>
      <c r="D51" s="164"/>
      <c r="E51" s="164"/>
      <c r="F51" s="164"/>
      <c r="G51" s="164"/>
      <c r="H51" s="164"/>
    </row>
    <row r="52" spans="1:8" ht="51.75" customHeight="1" x14ac:dyDescent="0.25">
      <c r="A52" s="161" t="s">
        <v>678</v>
      </c>
      <c r="B52" s="162"/>
      <c r="C52" s="162"/>
      <c r="D52" s="162"/>
      <c r="E52" s="162"/>
      <c r="F52" s="162"/>
      <c r="G52" s="162"/>
      <c r="H52" s="162"/>
    </row>
  </sheetData>
  <mergeCells count="61">
    <mergeCell ref="A12:J12"/>
    <mergeCell ref="A1:I1"/>
    <mergeCell ref="A2:I2"/>
    <mergeCell ref="D10:E10"/>
    <mergeCell ref="D9:E9"/>
    <mergeCell ref="D8:E8"/>
    <mergeCell ref="D7:E7"/>
    <mergeCell ref="D6:E6"/>
    <mergeCell ref="D5:E5"/>
    <mergeCell ref="G10:I10"/>
    <mergeCell ref="G9:I9"/>
    <mergeCell ref="B5:C5"/>
    <mergeCell ref="B6:C6"/>
    <mergeCell ref="B7:C7"/>
    <mergeCell ref="B8:C8"/>
    <mergeCell ref="B10:C10"/>
    <mergeCell ref="G8:I8"/>
    <mergeCell ref="G7:I7"/>
    <mergeCell ref="G6:I6"/>
    <mergeCell ref="G5:I5"/>
    <mergeCell ref="B9:C9"/>
    <mergeCell ref="A4:I4"/>
    <mergeCell ref="A19:J19"/>
    <mergeCell ref="A36:H36"/>
    <mergeCell ref="C41:D41"/>
    <mergeCell ref="C40:D40"/>
    <mergeCell ref="C39:D39"/>
    <mergeCell ref="C38:D38"/>
    <mergeCell ref="C37:D37"/>
    <mergeCell ref="E41:F41"/>
    <mergeCell ref="E40:F40"/>
    <mergeCell ref="E39:F39"/>
    <mergeCell ref="A27:J27"/>
    <mergeCell ref="A26:J26"/>
    <mergeCell ref="A21:J21"/>
    <mergeCell ref="A25:J25"/>
    <mergeCell ref="A24:J24"/>
    <mergeCell ref="A47:H47"/>
    <mergeCell ref="A46:H46"/>
    <mergeCell ref="A45:H45"/>
    <mergeCell ref="A44:H44"/>
    <mergeCell ref="E38:F38"/>
    <mergeCell ref="G41:H41"/>
    <mergeCell ref="G40:H40"/>
    <mergeCell ref="G39:H39"/>
    <mergeCell ref="G38:H38"/>
    <mergeCell ref="A43:H43"/>
    <mergeCell ref="A42:H42"/>
    <mergeCell ref="A52:H52"/>
    <mergeCell ref="A51:H51"/>
    <mergeCell ref="A50:H50"/>
    <mergeCell ref="A49:H49"/>
    <mergeCell ref="A48:H48"/>
    <mergeCell ref="E37:F37"/>
    <mergeCell ref="G37:H37"/>
    <mergeCell ref="A23:J23"/>
    <mergeCell ref="A22:J22"/>
    <mergeCell ref="A31:J31"/>
    <mergeCell ref="A30:J30"/>
    <mergeCell ref="A29:J29"/>
    <mergeCell ref="A28:J28"/>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92"/>
  <sheetViews>
    <sheetView topLeftCell="A75" zoomScaleNormal="100" workbookViewId="0">
      <selection activeCell="B8" sqref="B8"/>
    </sheetView>
  </sheetViews>
  <sheetFormatPr defaultColWidth="8.7109375" defaultRowHeight="15" x14ac:dyDescent="0.25"/>
  <cols>
    <col min="1" max="6" width="26" customWidth="1"/>
  </cols>
  <sheetData>
    <row r="1" spans="1:6" ht="30" customHeight="1" x14ac:dyDescent="0.25">
      <c r="A1" s="244" t="s">
        <v>679</v>
      </c>
      <c r="B1" s="245"/>
      <c r="C1" s="245"/>
      <c r="D1" s="245"/>
      <c r="E1" s="245"/>
      <c r="F1" s="245"/>
    </row>
    <row r="2" spans="1:6" ht="24" customHeight="1" x14ac:dyDescent="0.25">
      <c r="A2" s="242" t="s">
        <v>680</v>
      </c>
      <c r="B2" s="243"/>
      <c r="C2" s="243"/>
      <c r="D2" s="243"/>
      <c r="E2" s="243"/>
      <c r="F2" s="243"/>
    </row>
    <row r="4" spans="1:6" ht="21.75" customHeight="1" x14ac:dyDescent="0.25">
      <c r="A4" s="148" t="s">
        <v>681</v>
      </c>
      <c r="B4" s="149"/>
      <c r="C4" s="149"/>
      <c r="D4" s="149"/>
      <c r="E4" s="149"/>
      <c r="F4" s="149"/>
    </row>
    <row r="5" spans="1:6" ht="18" customHeight="1" x14ac:dyDescent="0.25">
      <c r="A5" s="42" t="s">
        <v>682</v>
      </c>
      <c r="B5" s="42" t="s">
        <v>683</v>
      </c>
      <c r="C5" s="42" t="s">
        <v>684</v>
      </c>
      <c r="D5" s="42" t="s">
        <v>685</v>
      </c>
      <c r="E5" s="42" t="s">
        <v>686</v>
      </c>
      <c r="F5" s="42" t="s">
        <v>56</v>
      </c>
    </row>
    <row r="6" spans="1:6" ht="39.75" customHeight="1" x14ac:dyDescent="0.25">
      <c r="A6" s="61" t="s">
        <v>100</v>
      </c>
      <c r="B6" s="62" t="s">
        <v>687</v>
      </c>
      <c r="C6" s="41" t="s">
        <v>688</v>
      </c>
      <c r="D6" s="41" t="s">
        <v>689</v>
      </c>
      <c r="E6" s="63" t="s">
        <v>690</v>
      </c>
      <c r="F6" s="31" t="s">
        <v>691</v>
      </c>
    </row>
    <row r="7" spans="1:6" ht="39.75" customHeight="1" x14ac:dyDescent="0.25">
      <c r="A7" s="64" t="s">
        <v>84</v>
      </c>
      <c r="B7" s="49" t="s">
        <v>692</v>
      </c>
      <c r="C7" s="29" t="s">
        <v>693</v>
      </c>
      <c r="D7" s="29" t="s">
        <v>694</v>
      </c>
      <c r="E7" s="43" t="s">
        <v>695</v>
      </c>
      <c r="F7" s="65" t="s">
        <v>696</v>
      </c>
    </row>
    <row r="8" spans="1:6" ht="39.75" customHeight="1" x14ac:dyDescent="0.25">
      <c r="A8" s="60" t="s">
        <v>697</v>
      </c>
      <c r="B8" s="66" t="s">
        <v>957</v>
      </c>
      <c r="C8" s="38" t="s">
        <v>698</v>
      </c>
      <c r="D8" s="38" t="s">
        <v>699</v>
      </c>
      <c r="E8" s="67" t="s">
        <v>700</v>
      </c>
      <c r="F8" s="68" t="s">
        <v>701</v>
      </c>
    </row>
    <row r="9" spans="1:6" ht="21.75" customHeight="1" x14ac:dyDescent="0.25">
      <c r="A9" s="246" t="s">
        <v>702</v>
      </c>
      <c r="B9" s="247"/>
      <c r="C9" s="247"/>
      <c r="D9" s="247"/>
      <c r="E9" s="247"/>
      <c r="F9" s="247"/>
    </row>
    <row r="10" spans="1:6" ht="18" customHeight="1" x14ac:dyDescent="0.25">
      <c r="A10" s="69" t="s">
        <v>703</v>
      </c>
      <c r="B10" s="69" t="s">
        <v>704</v>
      </c>
      <c r="C10" s="69" t="s">
        <v>705</v>
      </c>
      <c r="D10" s="69" t="s">
        <v>706</v>
      </c>
      <c r="E10" s="69" t="s">
        <v>707</v>
      </c>
      <c r="F10" s="69" t="s">
        <v>56</v>
      </c>
    </row>
    <row r="11" spans="1:6" ht="45.75" customHeight="1" x14ac:dyDescent="0.25">
      <c r="A11" s="70" t="s">
        <v>708</v>
      </c>
      <c r="B11" s="44" t="s">
        <v>709</v>
      </c>
      <c r="C11" s="44" t="s">
        <v>710</v>
      </c>
      <c r="D11" s="30" t="s">
        <v>711</v>
      </c>
      <c r="E11" s="44" t="s">
        <v>712</v>
      </c>
      <c r="F11" s="71" t="s">
        <v>713</v>
      </c>
    </row>
    <row r="12" spans="1:6" ht="45.75" customHeight="1" x14ac:dyDescent="0.25">
      <c r="A12" s="45" t="s">
        <v>714</v>
      </c>
      <c r="B12" s="36" t="s">
        <v>715</v>
      </c>
      <c r="C12" s="67" t="s">
        <v>716</v>
      </c>
      <c r="D12" s="30" t="s">
        <v>717</v>
      </c>
      <c r="E12" s="67" t="s">
        <v>718</v>
      </c>
      <c r="F12" s="68" t="s">
        <v>719</v>
      </c>
    </row>
    <row r="13" spans="1:6" ht="45.75" customHeight="1" x14ac:dyDescent="0.25">
      <c r="A13" s="72" t="s">
        <v>720</v>
      </c>
      <c r="B13" s="63" t="s">
        <v>721</v>
      </c>
      <c r="C13" s="39" t="s">
        <v>722</v>
      </c>
      <c r="D13" s="30" t="s">
        <v>723</v>
      </c>
      <c r="E13" s="63" t="s">
        <v>724</v>
      </c>
      <c r="F13" s="31" t="s">
        <v>725</v>
      </c>
    </row>
    <row r="14" spans="1:6" ht="45.75" customHeight="1" x14ac:dyDescent="0.25">
      <c r="A14" s="73" t="s">
        <v>726</v>
      </c>
      <c r="B14" s="43" t="s">
        <v>721</v>
      </c>
      <c r="C14" s="27" t="s">
        <v>727</v>
      </c>
      <c r="D14" s="30" t="s">
        <v>728</v>
      </c>
      <c r="E14" s="43" t="s">
        <v>712</v>
      </c>
      <c r="F14" s="65" t="s">
        <v>729</v>
      </c>
    </row>
    <row r="15" spans="1:6" ht="45.75" customHeight="1" x14ac:dyDescent="0.25">
      <c r="A15" s="74" t="s">
        <v>730</v>
      </c>
      <c r="B15" s="75" t="s">
        <v>731</v>
      </c>
      <c r="C15" s="76" t="s">
        <v>710</v>
      </c>
      <c r="D15" s="30" t="s">
        <v>732</v>
      </c>
      <c r="E15" s="76" t="s">
        <v>712</v>
      </c>
      <c r="F15" s="77" t="s">
        <v>733</v>
      </c>
    </row>
    <row r="16" spans="1:6" ht="45.75" customHeight="1" x14ac:dyDescent="0.25">
      <c r="A16" s="74" t="s">
        <v>734</v>
      </c>
      <c r="B16" s="76" t="s">
        <v>709</v>
      </c>
      <c r="C16" s="76" t="s">
        <v>710</v>
      </c>
      <c r="D16" s="30" t="s">
        <v>711</v>
      </c>
      <c r="E16" s="76" t="s">
        <v>712</v>
      </c>
      <c r="F16" s="77" t="s">
        <v>735</v>
      </c>
    </row>
    <row r="17" spans="1:6" ht="21.75" customHeight="1" x14ac:dyDescent="0.25">
      <c r="A17" s="250" t="s">
        <v>736</v>
      </c>
      <c r="B17" s="251"/>
      <c r="C17" s="251"/>
      <c r="D17" s="251"/>
      <c r="E17" s="251"/>
      <c r="F17" s="251"/>
    </row>
    <row r="18" spans="1:6" ht="31.5" customHeight="1" x14ac:dyDescent="0.25">
      <c r="A18" s="248" t="s">
        <v>737</v>
      </c>
      <c r="B18" s="249"/>
      <c r="C18" s="249"/>
      <c r="D18" s="249"/>
      <c r="E18" s="249"/>
      <c r="F18" s="249"/>
    </row>
    <row r="19" spans="1:6" ht="18" customHeight="1" x14ac:dyDescent="0.25">
      <c r="A19" s="78" t="s">
        <v>738</v>
      </c>
      <c r="B19" s="78" t="s">
        <v>490</v>
      </c>
      <c r="C19" s="234" t="s">
        <v>739</v>
      </c>
      <c r="D19" s="235"/>
    </row>
    <row r="20" spans="1:6" ht="31.5" customHeight="1" x14ac:dyDescent="0.25">
      <c r="A20" s="73" t="s">
        <v>740</v>
      </c>
      <c r="B20" s="28" t="s">
        <v>741</v>
      </c>
      <c r="C20" s="196" t="s">
        <v>742</v>
      </c>
      <c r="D20" s="197"/>
    </row>
    <row r="21" spans="1:6" ht="31.5" customHeight="1" x14ac:dyDescent="0.25">
      <c r="A21" s="70" t="s">
        <v>743</v>
      </c>
      <c r="B21" s="33" t="s">
        <v>744</v>
      </c>
      <c r="C21" s="202" t="s">
        <v>745</v>
      </c>
      <c r="D21" s="203"/>
    </row>
    <row r="22" spans="1:6" ht="31.5" customHeight="1" x14ac:dyDescent="0.25">
      <c r="A22" s="73" t="s">
        <v>746</v>
      </c>
      <c r="B22" s="28" t="s">
        <v>747</v>
      </c>
      <c r="C22" s="196" t="s">
        <v>748</v>
      </c>
      <c r="D22" s="197"/>
    </row>
    <row r="23" spans="1:6" ht="31.5" customHeight="1" x14ac:dyDescent="0.25">
      <c r="A23" s="70" t="s">
        <v>749</v>
      </c>
      <c r="B23" s="33" t="s">
        <v>750</v>
      </c>
      <c r="C23" s="202" t="s">
        <v>751</v>
      </c>
      <c r="D23" s="203"/>
    </row>
    <row r="24" spans="1:6" ht="31.5" customHeight="1" x14ac:dyDescent="0.25">
      <c r="A24" s="73" t="s">
        <v>752</v>
      </c>
      <c r="B24" s="28">
        <f>1</f>
        <v>1</v>
      </c>
      <c r="C24" s="196" t="s">
        <v>753</v>
      </c>
      <c r="D24" s="197"/>
    </row>
    <row r="25" spans="1:6" ht="31.5" customHeight="1" x14ac:dyDescent="0.25">
      <c r="A25" s="70" t="s">
        <v>754</v>
      </c>
      <c r="B25" s="33" t="s">
        <v>755</v>
      </c>
      <c r="C25" s="202" t="s">
        <v>756</v>
      </c>
      <c r="D25" s="203"/>
    </row>
    <row r="26" spans="1:6" ht="229.5" hidden="1" customHeight="1" x14ac:dyDescent="0.25">
      <c r="A26" s="91" t="s">
        <v>757</v>
      </c>
    </row>
    <row r="30" spans="1:6" ht="21.75" customHeight="1" x14ac:dyDescent="0.25">
      <c r="A30" s="238" t="s">
        <v>758</v>
      </c>
      <c r="B30" s="239"/>
      <c r="C30" s="239"/>
      <c r="D30" s="239"/>
    </row>
    <row r="31" spans="1:6" ht="36" customHeight="1" x14ac:dyDescent="0.25">
      <c r="A31" s="236" t="s">
        <v>759</v>
      </c>
      <c r="B31" s="237"/>
      <c r="C31" s="237"/>
      <c r="D31" s="237"/>
    </row>
    <row r="32" spans="1:6" ht="18" customHeight="1" x14ac:dyDescent="0.25">
      <c r="A32" s="79" t="s">
        <v>738</v>
      </c>
      <c r="B32" s="79" t="s">
        <v>490</v>
      </c>
      <c r="C32" s="240" t="s">
        <v>760</v>
      </c>
      <c r="D32" s="241"/>
    </row>
    <row r="33" spans="1:6" ht="30" customHeight="1" x14ac:dyDescent="0.25">
      <c r="A33" s="73" t="s">
        <v>761</v>
      </c>
      <c r="B33" s="28" t="s">
        <v>762</v>
      </c>
      <c r="C33" s="196" t="s">
        <v>763</v>
      </c>
      <c r="D33" s="197"/>
    </row>
    <row r="34" spans="1:6" ht="30" customHeight="1" x14ac:dyDescent="0.25">
      <c r="A34" s="70" t="s">
        <v>764</v>
      </c>
      <c r="B34" s="33" t="s">
        <v>765</v>
      </c>
      <c r="C34" s="202" t="s">
        <v>766</v>
      </c>
      <c r="D34" s="203"/>
    </row>
    <row r="35" spans="1:6" ht="30" customHeight="1" x14ac:dyDescent="0.25">
      <c r="A35" s="73" t="s">
        <v>767</v>
      </c>
      <c r="B35" s="28" t="s">
        <v>768</v>
      </c>
      <c r="C35" s="196" t="s">
        <v>769</v>
      </c>
      <c r="D35" s="197"/>
    </row>
    <row r="36" spans="1:6" ht="30" customHeight="1" x14ac:dyDescent="0.25">
      <c r="A36" s="70" t="s">
        <v>770</v>
      </c>
      <c r="B36" s="33" t="s">
        <v>771</v>
      </c>
      <c r="C36" s="202" t="s">
        <v>772</v>
      </c>
      <c r="D36" s="203"/>
    </row>
    <row r="37" spans="1:6" ht="30" customHeight="1" x14ac:dyDescent="0.25">
      <c r="A37" s="73" t="s">
        <v>773</v>
      </c>
      <c r="B37" s="28" t="s">
        <v>774</v>
      </c>
      <c r="C37" s="196" t="s">
        <v>775</v>
      </c>
      <c r="D37" s="197"/>
    </row>
    <row r="38" spans="1:6" ht="259.5" hidden="1" customHeight="1" x14ac:dyDescent="0.25">
      <c r="A38" s="91" t="s">
        <v>776</v>
      </c>
    </row>
    <row r="41" spans="1:6" ht="21.75" customHeight="1" x14ac:dyDescent="0.25">
      <c r="A41" s="227" t="s">
        <v>777</v>
      </c>
      <c r="B41" s="228"/>
      <c r="C41" s="228"/>
      <c r="D41" s="228"/>
      <c r="E41" s="228"/>
    </row>
    <row r="42" spans="1:6" ht="36" customHeight="1" x14ac:dyDescent="0.25">
      <c r="A42" s="229" t="s">
        <v>778</v>
      </c>
      <c r="B42" s="230"/>
      <c r="C42" s="230"/>
      <c r="D42" s="230"/>
      <c r="E42" s="230"/>
    </row>
    <row r="43" spans="1:6" ht="18" customHeight="1" x14ac:dyDescent="0.25">
      <c r="A43" s="113" t="s">
        <v>779</v>
      </c>
      <c r="B43" s="113" t="s">
        <v>490</v>
      </c>
      <c r="C43" s="223" t="s">
        <v>321</v>
      </c>
      <c r="D43" s="223"/>
      <c r="E43" s="223" t="s">
        <v>780</v>
      </c>
      <c r="F43" s="223"/>
    </row>
    <row r="44" spans="1:6" ht="31.5" customHeight="1" x14ac:dyDescent="0.25">
      <c r="A44" s="114" t="s">
        <v>781</v>
      </c>
      <c r="B44" s="115" t="s">
        <v>782</v>
      </c>
      <c r="C44" s="232" t="s">
        <v>783</v>
      </c>
      <c r="D44" s="232"/>
      <c r="E44" s="225" t="s">
        <v>784</v>
      </c>
      <c r="F44" s="225"/>
    </row>
    <row r="45" spans="1:6" ht="31.5" customHeight="1" x14ac:dyDescent="0.25">
      <c r="A45" s="116" t="s">
        <v>785</v>
      </c>
      <c r="B45" s="117" t="s">
        <v>165</v>
      </c>
      <c r="C45" s="231" t="s">
        <v>786</v>
      </c>
      <c r="D45" s="231"/>
      <c r="E45" s="224" t="s">
        <v>787</v>
      </c>
      <c r="F45" s="224"/>
    </row>
    <row r="46" spans="1:6" ht="31.5" customHeight="1" x14ac:dyDescent="0.25">
      <c r="A46" s="114" t="s">
        <v>788</v>
      </c>
      <c r="B46" s="115" t="s">
        <v>789</v>
      </c>
      <c r="C46" s="232" t="s">
        <v>790</v>
      </c>
      <c r="D46" s="232"/>
      <c r="E46" s="225" t="s">
        <v>791</v>
      </c>
      <c r="F46" s="225"/>
    </row>
    <row r="47" spans="1:6" ht="31.5" customHeight="1" x14ac:dyDescent="0.25">
      <c r="A47" s="118" t="s">
        <v>792</v>
      </c>
      <c r="B47" s="119" t="s">
        <v>789</v>
      </c>
      <c r="C47" s="233" t="s">
        <v>793</v>
      </c>
      <c r="D47" s="233"/>
      <c r="E47" s="226" t="s">
        <v>794</v>
      </c>
      <c r="F47" s="226"/>
    </row>
    <row r="48" spans="1:6" ht="31.5" customHeight="1" x14ac:dyDescent="0.25">
      <c r="A48" s="114" t="s">
        <v>795</v>
      </c>
      <c r="B48" s="115" t="s">
        <v>796</v>
      </c>
      <c r="C48" s="232" t="s">
        <v>797</v>
      </c>
      <c r="D48" s="232"/>
      <c r="E48" s="225" t="s">
        <v>798</v>
      </c>
      <c r="F48" s="225"/>
    </row>
    <row r="49" spans="1:6" ht="31.5" customHeight="1" x14ac:dyDescent="0.25">
      <c r="A49" s="116" t="s">
        <v>799</v>
      </c>
      <c r="B49" s="117" t="s">
        <v>800</v>
      </c>
      <c r="C49" s="231" t="s">
        <v>801</v>
      </c>
      <c r="D49" s="231"/>
      <c r="E49" s="224" t="s">
        <v>802</v>
      </c>
      <c r="F49" s="224"/>
    </row>
    <row r="50" spans="1:6" ht="31.5" customHeight="1" x14ac:dyDescent="0.25">
      <c r="A50" s="114" t="s">
        <v>803</v>
      </c>
      <c r="B50" s="115" t="s">
        <v>796</v>
      </c>
      <c r="C50" s="232" t="s">
        <v>804</v>
      </c>
      <c r="D50" s="232"/>
      <c r="E50" s="225" t="s">
        <v>805</v>
      </c>
      <c r="F50" s="225"/>
    </row>
    <row r="51" spans="1:6" ht="31.5" customHeight="1" x14ac:dyDescent="0.25">
      <c r="A51" s="116" t="s">
        <v>806</v>
      </c>
      <c r="B51" s="117" t="s">
        <v>800</v>
      </c>
      <c r="C51" s="231" t="s">
        <v>807</v>
      </c>
      <c r="D51" s="231"/>
      <c r="E51" s="224" t="s">
        <v>808</v>
      </c>
      <c r="F51" s="224"/>
    </row>
    <row r="52" spans="1:6" ht="157.5" hidden="1" customHeight="1" x14ac:dyDescent="0.25">
      <c r="A52" s="120" t="s">
        <v>809</v>
      </c>
      <c r="B52" s="121"/>
      <c r="C52" s="121"/>
      <c r="D52" s="121"/>
      <c r="E52" s="224"/>
      <c r="F52" s="224"/>
    </row>
    <row r="55" spans="1:6" ht="19.5" customHeight="1" x14ac:dyDescent="0.25">
      <c r="A55" s="220" t="s">
        <v>810</v>
      </c>
      <c r="B55" s="221"/>
      <c r="C55" s="221"/>
      <c r="D55" s="221"/>
      <c r="E55" s="222"/>
    </row>
    <row r="56" spans="1:6" ht="21.95" customHeight="1" x14ac:dyDescent="0.25">
      <c r="A56" s="122" t="s">
        <v>811</v>
      </c>
      <c r="B56" s="122" t="s">
        <v>812</v>
      </c>
      <c r="C56" s="122" t="s">
        <v>55</v>
      </c>
      <c r="D56" s="219" t="s">
        <v>813</v>
      </c>
      <c r="E56" s="219"/>
    </row>
    <row r="57" spans="1:6" ht="33.950000000000003" customHeight="1" x14ac:dyDescent="0.25">
      <c r="A57" s="123" t="s">
        <v>814</v>
      </c>
      <c r="B57" s="124" t="s">
        <v>815</v>
      </c>
      <c r="C57" s="125" t="s">
        <v>816</v>
      </c>
      <c r="D57" s="217" t="s">
        <v>817</v>
      </c>
      <c r="E57" s="217"/>
    </row>
    <row r="58" spans="1:6" ht="30.6" customHeight="1" x14ac:dyDescent="0.25">
      <c r="A58" s="126" t="s">
        <v>648</v>
      </c>
      <c r="B58" s="127" t="s">
        <v>818</v>
      </c>
      <c r="C58" s="128" t="s">
        <v>819</v>
      </c>
      <c r="D58" s="216" t="s">
        <v>820</v>
      </c>
      <c r="E58" s="216"/>
    </row>
    <row r="59" spans="1:6" ht="37.5" customHeight="1" x14ac:dyDescent="0.25">
      <c r="A59" s="129" t="s">
        <v>821</v>
      </c>
      <c r="B59" s="130" t="s">
        <v>822</v>
      </c>
      <c r="C59" s="131" t="s">
        <v>823</v>
      </c>
      <c r="D59" s="218" t="s">
        <v>824</v>
      </c>
      <c r="E59" s="218"/>
    </row>
    <row r="60" spans="1:6" ht="37.5" customHeight="1" x14ac:dyDescent="0.25">
      <c r="A60" s="123" t="s">
        <v>658</v>
      </c>
      <c r="B60" s="124" t="s">
        <v>825</v>
      </c>
      <c r="C60" s="125" t="s">
        <v>826</v>
      </c>
      <c r="D60" s="217" t="s">
        <v>827</v>
      </c>
      <c r="E60" s="217"/>
    </row>
    <row r="61" spans="1:6" ht="43.5" customHeight="1" x14ac:dyDescent="0.25">
      <c r="A61" s="126" t="s">
        <v>663</v>
      </c>
      <c r="B61" s="127" t="s">
        <v>828</v>
      </c>
      <c r="C61" s="128" t="s">
        <v>829</v>
      </c>
      <c r="D61" s="216" t="s">
        <v>830</v>
      </c>
      <c r="E61" s="216"/>
    </row>
    <row r="62" spans="1:6" ht="43.5" customHeight="1" x14ac:dyDescent="0.25">
      <c r="A62" s="132" t="s">
        <v>831</v>
      </c>
      <c r="B62" s="133" t="s">
        <v>832</v>
      </c>
      <c r="C62" s="134" t="s">
        <v>833</v>
      </c>
      <c r="D62" s="215" t="s">
        <v>834</v>
      </c>
      <c r="E62" s="215"/>
    </row>
    <row r="63" spans="1:6" ht="43.5" customHeight="1" x14ac:dyDescent="0.25">
      <c r="A63" s="135" t="s">
        <v>835</v>
      </c>
      <c r="B63" s="136" t="s">
        <v>836</v>
      </c>
      <c r="C63" s="137" t="s">
        <v>837</v>
      </c>
      <c r="D63" s="214" t="s">
        <v>838</v>
      </c>
      <c r="E63" s="214"/>
    </row>
    <row r="64" spans="1:6" ht="21.75" customHeight="1" x14ac:dyDescent="0.25">
      <c r="A64" s="194" t="s">
        <v>839</v>
      </c>
      <c r="B64" s="195"/>
      <c r="C64" s="195"/>
      <c r="D64" s="195"/>
      <c r="E64" s="195"/>
    </row>
    <row r="65" spans="1:6" ht="18" customHeight="1" x14ac:dyDescent="0.25">
      <c r="A65" s="97" t="s">
        <v>840</v>
      </c>
      <c r="B65" s="204" t="s">
        <v>841</v>
      </c>
      <c r="C65" s="205"/>
      <c r="D65" s="204" t="s">
        <v>842</v>
      </c>
      <c r="E65" s="205"/>
    </row>
    <row r="66" spans="1:6" ht="39.75" customHeight="1" x14ac:dyDescent="0.25">
      <c r="A66" s="73" t="s">
        <v>843</v>
      </c>
      <c r="B66" s="196" t="s">
        <v>844</v>
      </c>
      <c r="C66" s="197"/>
      <c r="D66" s="206" t="s">
        <v>845</v>
      </c>
      <c r="E66" s="207"/>
    </row>
    <row r="67" spans="1:6" ht="39.75" customHeight="1" x14ac:dyDescent="0.25">
      <c r="A67" s="70" t="s">
        <v>846</v>
      </c>
      <c r="B67" s="202" t="s">
        <v>847</v>
      </c>
      <c r="C67" s="203"/>
      <c r="D67" s="212" t="s">
        <v>848</v>
      </c>
      <c r="E67" s="213"/>
      <c r="F67" s="98"/>
    </row>
    <row r="68" spans="1:6" ht="39.75" customHeight="1" x14ac:dyDescent="0.25">
      <c r="A68" s="45" t="s">
        <v>523</v>
      </c>
      <c r="B68" s="198" t="s">
        <v>849</v>
      </c>
      <c r="C68" s="199"/>
      <c r="D68" s="208" t="s">
        <v>850</v>
      </c>
      <c r="E68" s="209"/>
    </row>
    <row r="69" spans="1:6" ht="39.75" customHeight="1" x14ac:dyDescent="0.25">
      <c r="A69" s="72" t="s">
        <v>851</v>
      </c>
      <c r="B69" s="200" t="s">
        <v>852</v>
      </c>
      <c r="C69" s="201"/>
      <c r="D69" s="210" t="s">
        <v>853</v>
      </c>
      <c r="E69" s="211"/>
    </row>
    <row r="70" spans="1:6" ht="39.75" customHeight="1" x14ac:dyDescent="0.25">
      <c r="A70" s="45" t="s">
        <v>854</v>
      </c>
      <c r="B70" s="198" t="s">
        <v>855</v>
      </c>
      <c r="C70" s="199"/>
      <c r="D70" s="208" t="s">
        <v>856</v>
      </c>
      <c r="E70" s="209"/>
    </row>
    <row r="71" spans="1:6" ht="39.75" customHeight="1" x14ac:dyDescent="0.25">
      <c r="A71" s="73" t="s">
        <v>857</v>
      </c>
      <c r="B71" s="196" t="s">
        <v>858</v>
      </c>
      <c r="C71" s="197"/>
      <c r="D71" s="206" t="s">
        <v>859</v>
      </c>
      <c r="E71" s="207"/>
    </row>
    <row r="72" spans="1:6" ht="21.75" hidden="1" customHeight="1" x14ac:dyDescent="0.25">
      <c r="A72" s="90" t="s">
        <v>860</v>
      </c>
    </row>
    <row r="73" spans="1:6" ht="409.6" hidden="1" customHeight="1" x14ac:dyDescent="0.25">
      <c r="A73" s="91" t="s">
        <v>861</v>
      </c>
    </row>
    <row r="75" spans="1:6" ht="318.95" customHeight="1" x14ac:dyDescent="0.25">
      <c r="A75" s="193" t="s">
        <v>862</v>
      </c>
      <c r="B75" s="193"/>
      <c r="C75" s="193"/>
      <c r="D75" s="193"/>
      <c r="E75" s="193"/>
    </row>
    <row r="82" spans="1:1" ht="21.75" customHeight="1" x14ac:dyDescent="0.25">
      <c r="A82" s="96" t="s">
        <v>863</v>
      </c>
    </row>
    <row r="83" spans="1:1" ht="18" customHeight="1" x14ac:dyDescent="0.25">
      <c r="A83" s="93" t="s">
        <v>864</v>
      </c>
    </row>
    <row r="84" spans="1:1" ht="43.5" customHeight="1" x14ac:dyDescent="0.25">
      <c r="A84" s="92" t="s">
        <v>865</v>
      </c>
    </row>
    <row r="85" spans="1:1" ht="18" customHeight="1" x14ac:dyDescent="0.25">
      <c r="A85" s="94" t="s">
        <v>866</v>
      </c>
    </row>
    <row r="86" spans="1:1" ht="43.5" customHeight="1" x14ac:dyDescent="0.25">
      <c r="A86" s="95" t="s">
        <v>867</v>
      </c>
    </row>
    <row r="87" spans="1:1" ht="18" customHeight="1" x14ac:dyDescent="0.25">
      <c r="A87" s="93" t="s">
        <v>868</v>
      </c>
    </row>
    <row r="88" spans="1:1" ht="43.5" customHeight="1" x14ac:dyDescent="0.25">
      <c r="A88" s="92" t="s">
        <v>869</v>
      </c>
    </row>
    <row r="89" spans="1:1" ht="18" customHeight="1" x14ac:dyDescent="0.25">
      <c r="A89" s="94" t="s">
        <v>870</v>
      </c>
    </row>
    <row r="90" spans="1:1" ht="43.5" customHeight="1" x14ac:dyDescent="0.25">
      <c r="A90" s="95" t="s">
        <v>871</v>
      </c>
    </row>
    <row r="91" spans="1:1" ht="18" customHeight="1" x14ac:dyDescent="0.25">
      <c r="A91" s="93" t="s">
        <v>872</v>
      </c>
    </row>
    <row r="92" spans="1:1" ht="43.5" customHeight="1" x14ac:dyDescent="0.25">
      <c r="A92" s="92" t="s">
        <v>873</v>
      </c>
    </row>
  </sheetData>
  <mergeCells count="66">
    <mergeCell ref="A4:F4"/>
    <mergeCell ref="A2:F2"/>
    <mergeCell ref="A1:F1"/>
    <mergeCell ref="A9:F9"/>
    <mergeCell ref="A18:F18"/>
    <mergeCell ref="A17:F17"/>
    <mergeCell ref="C19:D19"/>
    <mergeCell ref="A31:D31"/>
    <mergeCell ref="A30:D30"/>
    <mergeCell ref="C37:D37"/>
    <mergeCell ref="C36:D36"/>
    <mergeCell ref="C35:D35"/>
    <mergeCell ref="C34:D34"/>
    <mergeCell ref="C33:D33"/>
    <mergeCell ref="C32:D32"/>
    <mergeCell ref="C25:D25"/>
    <mergeCell ref="C24:D24"/>
    <mergeCell ref="C23:D23"/>
    <mergeCell ref="C22:D22"/>
    <mergeCell ref="C21:D21"/>
    <mergeCell ref="C20:D20"/>
    <mergeCell ref="A41:E41"/>
    <mergeCell ref="A42:E42"/>
    <mergeCell ref="C51:D51"/>
    <mergeCell ref="C50:D50"/>
    <mergeCell ref="C49:D49"/>
    <mergeCell ref="C48:D48"/>
    <mergeCell ref="C47:D47"/>
    <mergeCell ref="C46:D46"/>
    <mergeCell ref="C45:D45"/>
    <mergeCell ref="C44:D44"/>
    <mergeCell ref="D58:E58"/>
    <mergeCell ref="D57:E57"/>
    <mergeCell ref="D56:E56"/>
    <mergeCell ref="A55:E55"/>
    <mergeCell ref="C43:D43"/>
    <mergeCell ref="E51:F52"/>
    <mergeCell ref="E50:F50"/>
    <mergeCell ref="E49:F49"/>
    <mergeCell ref="E48:F48"/>
    <mergeCell ref="E47:F47"/>
    <mergeCell ref="E46:F46"/>
    <mergeCell ref="E45:F45"/>
    <mergeCell ref="E44:F44"/>
    <mergeCell ref="E43:F43"/>
    <mergeCell ref="D63:E63"/>
    <mergeCell ref="D62:E62"/>
    <mergeCell ref="D61:E61"/>
    <mergeCell ref="D60:E60"/>
    <mergeCell ref="D59:E59"/>
    <mergeCell ref="A75:E75"/>
    <mergeCell ref="A64:E64"/>
    <mergeCell ref="B71:C71"/>
    <mergeCell ref="B70:C70"/>
    <mergeCell ref="B69:C69"/>
    <mergeCell ref="B68:C68"/>
    <mergeCell ref="B67:C67"/>
    <mergeCell ref="B66:C66"/>
    <mergeCell ref="B65:C65"/>
    <mergeCell ref="D71:E71"/>
    <mergeCell ref="D70:E70"/>
    <mergeCell ref="D69:E69"/>
    <mergeCell ref="D68:E68"/>
    <mergeCell ref="D67:E67"/>
    <mergeCell ref="D66:E66"/>
    <mergeCell ref="D65:E65"/>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9"/>
  <sheetViews>
    <sheetView tabSelected="1" zoomScale="85" zoomScaleNormal="85" workbookViewId="0">
      <selection sqref="A1:E29"/>
    </sheetView>
  </sheetViews>
  <sheetFormatPr defaultColWidth="8.7109375" defaultRowHeight="15" x14ac:dyDescent="0.25"/>
  <cols>
    <col min="1" max="1" width="6.42578125" style="81" customWidth="1"/>
    <col min="2" max="2" width="5.42578125" style="81" bestFit="1" customWidth="1"/>
    <col min="3" max="3" width="15.28515625" style="81" customWidth="1"/>
    <col min="4" max="4" width="13.140625" style="81" customWidth="1"/>
    <col min="5" max="5" width="17.28515625" style="81" customWidth="1"/>
    <col min="6" max="6" width="8.7109375" style="81" customWidth="1"/>
    <col min="7" max="7" width="13" style="84" customWidth="1"/>
    <col min="8" max="8" width="13.7109375" style="84" customWidth="1"/>
    <col min="9" max="9" width="16.28515625" style="84" bestFit="1" customWidth="1"/>
    <col min="10" max="10" width="31.5703125" style="84" bestFit="1" customWidth="1"/>
    <col min="11" max="11" width="8.7109375" style="81" customWidth="1"/>
    <col min="12" max="16384" width="8.7109375" style="81"/>
  </cols>
  <sheetData>
    <row r="1" spans="1:10" ht="30" customHeight="1" x14ac:dyDescent="0.25">
      <c r="A1" s="80"/>
      <c r="B1" s="80"/>
      <c r="C1" s="80"/>
      <c r="D1" s="80"/>
      <c r="E1" s="80"/>
      <c r="G1" s="85" t="s">
        <v>874</v>
      </c>
      <c r="H1" s="85" t="s">
        <v>875</v>
      </c>
      <c r="I1" s="85" t="s">
        <v>876</v>
      </c>
      <c r="J1" s="85" t="s">
        <v>877</v>
      </c>
    </row>
    <row r="2" spans="1:10" ht="27.95" customHeight="1" x14ac:dyDescent="0.25">
      <c r="A2" s="82"/>
      <c r="B2" s="82"/>
      <c r="C2" s="82"/>
      <c r="D2" s="82"/>
      <c r="E2" s="82"/>
      <c r="G2" s="83">
        <v>1</v>
      </c>
      <c r="H2" s="83" t="s">
        <v>878</v>
      </c>
      <c r="I2" s="83" t="s">
        <v>879</v>
      </c>
      <c r="J2" s="83" t="s">
        <v>880</v>
      </c>
    </row>
    <row r="3" spans="1:10" ht="22.5" customHeight="1" x14ac:dyDescent="0.25">
      <c r="A3" s="82"/>
      <c r="B3" s="82"/>
      <c r="C3" s="82"/>
      <c r="D3" s="82"/>
      <c r="E3" s="82"/>
      <c r="G3" s="83">
        <v>2</v>
      </c>
      <c r="H3" s="83" t="s">
        <v>881</v>
      </c>
      <c r="I3" s="83" t="s">
        <v>882</v>
      </c>
      <c r="J3" s="83" t="s">
        <v>883</v>
      </c>
    </row>
    <row r="4" spans="1:10" ht="23.1" customHeight="1" x14ac:dyDescent="0.25">
      <c r="A4" s="82"/>
      <c r="B4" s="82"/>
      <c r="C4" s="82"/>
      <c r="D4" s="82"/>
      <c r="E4" s="82"/>
      <c r="G4" s="83">
        <v>3</v>
      </c>
      <c r="H4" s="83" t="s">
        <v>884</v>
      </c>
      <c r="I4" s="83" t="s">
        <v>882</v>
      </c>
      <c r="J4" s="83" t="s">
        <v>885</v>
      </c>
    </row>
    <row r="5" spans="1:10" ht="24.95" customHeight="1" x14ac:dyDescent="0.25">
      <c r="A5" s="82"/>
      <c r="B5" s="82"/>
      <c r="C5" s="82"/>
      <c r="D5" s="82"/>
      <c r="E5" s="82"/>
      <c r="G5" s="83">
        <v>4</v>
      </c>
      <c r="H5" s="83" t="s">
        <v>886</v>
      </c>
      <c r="I5" s="83" t="s">
        <v>882</v>
      </c>
      <c r="J5" s="83" t="s">
        <v>887</v>
      </c>
    </row>
    <row r="6" spans="1:10" ht="31.5" customHeight="1" x14ac:dyDescent="0.25">
      <c r="A6" s="82"/>
      <c r="B6" s="82"/>
      <c r="C6" s="82"/>
      <c r="D6" s="82"/>
      <c r="E6" s="82"/>
      <c r="G6" s="83">
        <v>5</v>
      </c>
      <c r="H6" s="83" t="s">
        <v>888</v>
      </c>
      <c r="I6" s="83" t="s">
        <v>889</v>
      </c>
      <c r="J6" s="83" t="s">
        <v>890</v>
      </c>
    </row>
    <row r="7" spans="1:10" ht="21.6" customHeight="1" x14ac:dyDescent="0.25">
      <c r="A7" s="82"/>
      <c r="B7" s="82"/>
      <c r="C7" s="82"/>
      <c r="D7" s="82"/>
      <c r="E7" s="82"/>
      <c r="G7" s="83">
        <v>6</v>
      </c>
      <c r="H7" s="83" t="s">
        <v>891</v>
      </c>
      <c r="I7" s="83" t="s">
        <v>889</v>
      </c>
      <c r="J7" s="83" t="s">
        <v>892</v>
      </c>
    </row>
    <row r="8" spans="1:10" ht="27.95" customHeight="1" x14ac:dyDescent="0.25">
      <c r="A8" s="82"/>
      <c r="B8" s="82"/>
      <c r="C8" s="82"/>
      <c r="D8" s="82"/>
      <c r="E8" s="82"/>
      <c r="G8" s="83">
        <v>7</v>
      </c>
      <c r="H8" s="83" t="s">
        <v>893</v>
      </c>
      <c r="I8" s="83" t="s">
        <v>889</v>
      </c>
      <c r="J8" s="83" t="s">
        <v>894</v>
      </c>
    </row>
    <row r="9" spans="1:10" ht="27.6" customHeight="1" x14ac:dyDescent="0.25">
      <c r="A9" s="82"/>
      <c r="B9" s="82"/>
      <c r="C9" s="82"/>
      <c r="D9" s="82"/>
      <c r="E9" s="82"/>
      <c r="G9" s="83">
        <v>8</v>
      </c>
      <c r="H9" s="83" t="s">
        <v>895</v>
      </c>
      <c r="I9" s="83" t="s">
        <v>896</v>
      </c>
      <c r="J9" s="83" t="s">
        <v>897</v>
      </c>
    </row>
    <row r="10" spans="1:10" ht="31.5" customHeight="1" x14ac:dyDescent="0.25">
      <c r="A10" s="82"/>
      <c r="B10" s="82"/>
      <c r="C10" s="82"/>
      <c r="D10" s="82"/>
      <c r="E10" s="82"/>
      <c r="G10" s="83">
        <v>9</v>
      </c>
      <c r="H10" s="83" t="s">
        <v>898</v>
      </c>
      <c r="I10" s="83" t="s">
        <v>899</v>
      </c>
      <c r="J10" s="83" t="s">
        <v>900</v>
      </c>
    </row>
    <row r="11" spans="1:10" ht="29.45" customHeight="1" x14ac:dyDescent="0.25">
      <c r="A11" s="82"/>
      <c r="B11" s="82"/>
      <c r="C11" s="82"/>
      <c r="D11" s="82"/>
      <c r="E11" s="82"/>
      <c r="G11" s="83">
        <v>10</v>
      </c>
      <c r="H11" s="83" t="s">
        <v>901</v>
      </c>
      <c r="I11" s="83" t="s">
        <v>899</v>
      </c>
      <c r="J11" s="83" t="s">
        <v>902</v>
      </c>
    </row>
    <row r="12" spans="1:10" ht="18.600000000000001" customHeight="1" x14ac:dyDescent="0.25">
      <c r="A12" s="82"/>
      <c r="B12" s="82"/>
      <c r="C12" s="82"/>
      <c r="D12" s="82"/>
      <c r="E12" s="82"/>
      <c r="G12" s="83">
        <v>11</v>
      </c>
      <c r="H12" s="83" t="s">
        <v>97</v>
      </c>
      <c r="I12" s="83" t="s">
        <v>903</v>
      </c>
      <c r="J12" s="83" t="s">
        <v>904</v>
      </c>
    </row>
    <row r="13" spans="1:10" ht="20.100000000000001" customHeight="1" x14ac:dyDescent="0.25">
      <c r="A13" s="82"/>
      <c r="B13" s="82"/>
      <c r="C13" s="82"/>
      <c r="D13" s="82"/>
      <c r="E13" s="82"/>
      <c r="G13" s="83">
        <v>12</v>
      </c>
      <c r="H13" s="83" t="s">
        <v>905</v>
      </c>
      <c r="I13" s="83" t="s">
        <v>906</v>
      </c>
      <c r="J13" s="83" t="s">
        <v>907</v>
      </c>
    </row>
    <row r="14" spans="1:10" ht="24" customHeight="1" x14ac:dyDescent="0.25">
      <c r="A14" s="82"/>
      <c r="B14" s="82"/>
      <c r="C14" s="82"/>
      <c r="D14" s="82"/>
      <c r="E14" s="82"/>
      <c r="G14" s="83">
        <v>13</v>
      </c>
      <c r="H14" s="83" t="s">
        <v>908</v>
      </c>
      <c r="I14" s="83" t="s">
        <v>906</v>
      </c>
      <c r="J14" s="83" t="s">
        <v>909</v>
      </c>
    </row>
    <row r="15" spans="1:10" ht="17.45" customHeight="1" x14ac:dyDescent="0.25">
      <c r="A15" s="82"/>
      <c r="B15" s="82"/>
      <c r="C15" s="82"/>
      <c r="D15" s="82"/>
      <c r="E15" s="82"/>
      <c r="G15" s="83">
        <v>14</v>
      </c>
      <c r="H15" s="83" t="s">
        <v>110</v>
      </c>
      <c r="I15" s="83" t="s">
        <v>903</v>
      </c>
      <c r="J15" s="83" t="s">
        <v>910</v>
      </c>
    </row>
    <row r="16" spans="1:10" ht="17.100000000000001" customHeight="1" x14ac:dyDescent="0.25">
      <c r="A16" s="82"/>
      <c r="B16" s="82"/>
      <c r="C16" s="82"/>
      <c r="D16" s="82"/>
      <c r="E16" s="82"/>
      <c r="G16" s="83">
        <v>15</v>
      </c>
      <c r="H16" s="83" t="s">
        <v>113</v>
      </c>
      <c r="I16" s="83" t="s">
        <v>889</v>
      </c>
      <c r="J16" s="83" t="s">
        <v>911</v>
      </c>
    </row>
    <row r="17" spans="1:10" ht="21.6" customHeight="1" x14ac:dyDescent="0.25">
      <c r="A17" s="82"/>
      <c r="B17" s="82"/>
      <c r="C17" s="82"/>
      <c r="D17" s="82"/>
      <c r="E17" s="82"/>
      <c r="G17" s="83">
        <v>16</v>
      </c>
      <c r="H17" s="83" t="s">
        <v>115</v>
      </c>
      <c r="I17" s="83" t="s">
        <v>889</v>
      </c>
      <c r="J17" s="83" t="s">
        <v>912</v>
      </c>
    </row>
    <row r="18" spans="1:10" ht="20.100000000000001" customHeight="1" x14ac:dyDescent="0.25">
      <c r="A18" s="82"/>
      <c r="B18" s="82"/>
      <c r="C18" s="82"/>
      <c r="D18" s="82"/>
      <c r="E18" s="82"/>
      <c r="G18" s="83">
        <v>17</v>
      </c>
      <c r="H18" s="83" t="s">
        <v>913</v>
      </c>
      <c r="I18" s="83" t="s">
        <v>914</v>
      </c>
      <c r="J18" s="83" t="s">
        <v>915</v>
      </c>
    </row>
    <row r="19" spans="1:10" ht="21.6" customHeight="1" x14ac:dyDescent="0.25">
      <c r="A19" s="82"/>
      <c r="B19" s="82"/>
      <c r="C19" s="82"/>
      <c r="D19" s="82"/>
      <c r="E19" s="82"/>
      <c r="G19" s="83">
        <v>18</v>
      </c>
      <c r="H19" s="83" t="s">
        <v>916</v>
      </c>
      <c r="I19" s="83" t="s">
        <v>914</v>
      </c>
      <c r="J19" s="83" t="s">
        <v>917</v>
      </c>
    </row>
    <row r="20" spans="1:10" ht="30" customHeight="1" x14ac:dyDescent="0.25">
      <c r="A20" s="82"/>
      <c r="B20" s="82"/>
      <c r="C20" s="82"/>
      <c r="D20" s="82"/>
      <c r="E20" s="82"/>
      <c r="G20" s="83">
        <v>19</v>
      </c>
      <c r="H20" s="83" t="s">
        <v>895</v>
      </c>
      <c r="I20" s="83" t="s">
        <v>896</v>
      </c>
      <c r="J20" s="83" t="s">
        <v>897</v>
      </c>
    </row>
    <row r="21" spans="1:10" ht="29.45" customHeight="1" x14ac:dyDescent="0.25">
      <c r="A21" s="82"/>
      <c r="B21" s="82"/>
      <c r="C21" s="82"/>
      <c r="D21" s="82"/>
      <c r="E21" s="82"/>
      <c r="G21" s="83">
        <v>20</v>
      </c>
      <c r="H21" s="83" t="s">
        <v>918</v>
      </c>
      <c r="I21" s="83" t="s">
        <v>896</v>
      </c>
      <c r="J21" s="83" t="s">
        <v>919</v>
      </c>
    </row>
    <row r="22" spans="1:10" ht="26.1" customHeight="1" x14ac:dyDescent="0.25">
      <c r="A22" s="82"/>
      <c r="B22" s="82"/>
      <c r="C22" s="82"/>
      <c r="D22" s="82"/>
      <c r="E22" s="82"/>
      <c r="G22" s="83">
        <v>21</v>
      </c>
      <c r="H22" s="83" t="s">
        <v>920</v>
      </c>
      <c r="I22" s="83" t="s">
        <v>921</v>
      </c>
      <c r="J22" s="83" t="s">
        <v>922</v>
      </c>
    </row>
    <row r="23" spans="1:10" ht="26.45" customHeight="1" x14ac:dyDescent="0.25">
      <c r="A23" s="82"/>
      <c r="B23" s="82"/>
      <c r="C23" s="82"/>
      <c r="D23" s="82"/>
      <c r="E23" s="82"/>
      <c r="G23" s="83">
        <v>22</v>
      </c>
      <c r="H23" s="83" t="s">
        <v>923</v>
      </c>
      <c r="I23" s="83" t="s">
        <v>921</v>
      </c>
      <c r="J23" s="83" t="s">
        <v>924</v>
      </c>
    </row>
    <row r="24" spans="1:10" ht="22.5" customHeight="1" x14ac:dyDescent="0.25">
      <c r="A24" s="82"/>
      <c r="B24" s="82"/>
      <c r="C24" s="82"/>
      <c r="D24" s="82"/>
      <c r="E24" s="82"/>
      <c r="G24" s="83">
        <v>23</v>
      </c>
      <c r="H24" s="83" t="s">
        <v>75</v>
      </c>
      <c r="I24" s="83" t="s">
        <v>906</v>
      </c>
      <c r="J24" s="83" t="s">
        <v>925</v>
      </c>
    </row>
    <row r="25" spans="1:10" ht="26.45" customHeight="1" x14ac:dyDescent="0.25">
      <c r="A25" s="82"/>
      <c r="B25" s="82"/>
      <c r="C25" s="82"/>
      <c r="D25" s="82"/>
      <c r="E25" s="82"/>
      <c r="G25" s="83">
        <v>24</v>
      </c>
      <c r="H25" s="83" t="s">
        <v>77</v>
      </c>
      <c r="I25" s="83" t="s">
        <v>906</v>
      </c>
      <c r="J25" s="83" t="s">
        <v>927</v>
      </c>
    </row>
    <row r="26" spans="1:10" ht="21.6" customHeight="1" x14ac:dyDescent="0.25">
      <c r="A26" s="82"/>
      <c r="B26" s="82"/>
      <c r="C26" s="82"/>
      <c r="D26" s="82"/>
      <c r="E26" s="82"/>
      <c r="G26" s="83">
        <v>25</v>
      </c>
      <c r="H26" s="83" t="s">
        <v>81</v>
      </c>
      <c r="I26" s="83" t="s">
        <v>928</v>
      </c>
      <c r="J26" s="83" t="s">
        <v>929</v>
      </c>
    </row>
    <row r="27" spans="1:10" ht="24.6" customHeight="1" x14ac:dyDescent="0.25">
      <c r="A27" s="82"/>
      <c r="B27" s="82"/>
      <c r="C27" s="82"/>
      <c r="D27" s="82"/>
      <c r="E27" s="82"/>
      <c r="G27" s="83">
        <v>26</v>
      </c>
      <c r="H27" s="83" t="s">
        <v>86</v>
      </c>
      <c r="I27" s="83" t="s">
        <v>928</v>
      </c>
      <c r="J27" s="83" t="s">
        <v>930</v>
      </c>
    </row>
    <row r="28" spans="1:10" ht="27.95" customHeight="1" x14ac:dyDescent="0.25">
      <c r="A28" s="82"/>
      <c r="B28" s="82"/>
      <c r="C28" s="82"/>
      <c r="D28" s="82"/>
      <c r="E28" s="82"/>
      <c r="G28" s="83">
        <v>27</v>
      </c>
      <c r="H28" s="83" t="s">
        <v>931</v>
      </c>
      <c r="I28" s="83" t="s">
        <v>932</v>
      </c>
      <c r="J28" s="83" t="s">
        <v>933</v>
      </c>
    </row>
    <row r="29" spans="1:10" ht="27.95" customHeight="1" x14ac:dyDescent="0.25">
      <c r="A29" s="82"/>
      <c r="B29" s="82"/>
      <c r="C29" s="82"/>
      <c r="D29" s="82"/>
      <c r="E29" s="82"/>
      <c r="G29" s="83">
        <v>28</v>
      </c>
      <c r="H29" s="83" t="s">
        <v>934</v>
      </c>
      <c r="I29" s="83" t="s">
        <v>926</v>
      </c>
      <c r="J29" s="83" t="s">
        <v>935</v>
      </c>
    </row>
  </sheetData>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① Algorithm Overview</vt:lpstr>
      <vt:lpstr>② State Detail</vt:lpstr>
      <vt:lpstr>③ Motor &amp; TB6612</vt:lpstr>
      <vt:lpstr>④ Driver Config</vt:lpstr>
      <vt:lpstr>⑤ C Code Skeleton</vt:lpstr>
      <vt:lpstr>⑥ Transition &amp; Flags</vt:lpstr>
      <vt:lpstr>⑦ Chatter Filter</vt:lpstr>
      <vt:lpstr>⑧ Main &amp; Timers</vt:lpstr>
      <vt:lpstr>PCB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Trịnh Xuân Trung</cp:lastModifiedBy>
  <cp:revision>0</cp:revision>
  <dcterms:created xsi:type="dcterms:W3CDTF">2026-03-16T04:11:31Z</dcterms:created>
  <dcterms:modified xsi:type="dcterms:W3CDTF">2026-03-27T16:09:01Z</dcterms:modified>
  <dc:language>en-US</dc:language>
</cp:coreProperties>
</file>